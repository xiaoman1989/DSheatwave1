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地湖所工作\XMGS02\"/>
    </mc:Choice>
  </mc:AlternateContent>
  <xr:revisionPtr revIDLastSave="0" documentId="13_ncr:1_{9AB0DBEE-9BE2-421C-86C2-300667BC00F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Event table" sheetId="3" r:id="rId1"/>
    <sheet name="Parameter table" sheetId="2" r:id="rId2"/>
    <sheet name="Data tabl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" i="1" l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42" i="1"/>
  <c r="Y43" i="1"/>
  <c r="Y44" i="1"/>
  <c r="Y45" i="1"/>
  <c r="Y46" i="1"/>
  <c r="Y47" i="1"/>
  <c r="Y48" i="1"/>
  <c r="Y49" i="1"/>
  <c r="Y50" i="1"/>
  <c r="Y51" i="1"/>
</calcChain>
</file>

<file path=xl/sharedStrings.xml><?xml version="1.0" encoding="utf-8"?>
<sst xmlns="http://schemas.openxmlformats.org/spreadsheetml/2006/main" count="713" uniqueCount="321">
  <si>
    <t>Day</t>
  </si>
  <si>
    <t>Tank</t>
  </si>
  <si>
    <t>Treatment</t>
  </si>
  <si>
    <t>mmHg</t>
  </si>
  <si>
    <t>SPC_us_cm</t>
  </si>
  <si>
    <t>C_us_cm</t>
  </si>
  <si>
    <t>PC_RFU</t>
  </si>
  <si>
    <t>PC_ug_L</t>
  </si>
  <si>
    <t>PC_c_mL</t>
  </si>
  <si>
    <t>Chl_ug_L</t>
  </si>
  <si>
    <t>Dinophyta_cells</t>
  </si>
  <si>
    <t>Species_Number</t>
  </si>
  <si>
    <t>Margalef</t>
  </si>
  <si>
    <t>Shannon</t>
  </si>
  <si>
    <t>Pielou</t>
  </si>
  <si>
    <t>Simpson</t>
  </si>
  <si>
    <t>Bacillariophyceae_Ratio</t>
  </si>
  <si>
    <t>Chlorophyta_Ratio</t>
  </si>
  <si>
    <t>Cryptophyta_Ratio</t>
  </si>
  <si>
    <t>Cyanophyceae_Ratio</t>
  </si>
  <si>
    <t>Euglenophyta_Ratio</t>
  </si>
  <si>
    <t>Dinophyta_Ratio</t>
  </si>
  <si>
    <t>Chrysophyta_Ratio</t>
  </si>
  <si>
    <t>filamentous_ratio</t>
  </si>
  <si>
    <t>bloom_ratio</t>
  </si>
  <si>
    <t>filamentous_cells</t>
  </si>
  <si>
    <t>57</t>
  </si>
  <si>
    <t>Control</t>
  </si>
  <si>
    <t>63</t>
  </si>
  <si>
    <t>54</t>
  </si>
  <si>
    <t>Mixing</t>
  </si>
  <si>
    <t>59</t>
  </si>
  <si>
    <t>62</t>
  </si>
  <si>
    <t>67</t>
  </si>
  <si>
    <t>68</t>
  </si>
  <si>
    <t>70</t>
  </si>
  <si>
    <t>64</t>
  </si>
  <si>
    <t>65</t>
  </si>
  <si>
    <t>Nutrients</t>
  </si>
  <si>
    <t>Heatwave+Nutrients</t>
  </si>
  <si>
    <t>Mixing+Nutrients</t>
  </si>
  <si>
    <t>Heatwave+Mixing+Nutrients</t>
  </si>
  <si>
    <t>Nutrients</t>
    <phoneticPr fontId="1" type="noConversion"/>
  </si>
  <si>
    <t>Mixing</t>
    <phoneticPr fontId="1" type="noConversion"/>
  </si>
  <si>
    <t>Control</t>
    <phoneticPr fontId="1" type="noConversion"/>
  </si>
  <si>
    <t>Heatwave+Nutrients</t>
    <phoneticPr fontId="1" type="noConversion"/>
  </si>
  <si>
    <t>Chl-a_ug_L_bottom</t>
    <phoneticPr fontId="1" type="noConversion"/>
  </si>
  <si>
    <t>Chlorella_sp_Ratio</t>
  </si>
  <si>
    <t>Closterium_sp_Ratio</t>
  </si>
  <si>
    <t>Pseudanabaena_sp_Ratio</t>
  </si>
  <si>
    <t>Kirchneriella_sp_Ratio</t>
  </si>
  <si>
    <t>Scenedesmus_sp_Ratio</t>
  </si>
  <si>
    <t>Closterium_ceratium_Ratio</t>
    <phoneticPr fontId="1" type="noConversion"/>
  </si>
  <si>
    <t>Kirchneriella_obesa_Ratio</t>
    <phoneticPr fontId="1" type="noConversion"/>
  </si>
  <si>
    <t>bloom_cells</t>
  </si>
  <si>
    <t>NTU_surface</t>
    <phoneticPr fontId="1" type="noConversion"/>
  </si>
  <si>
    <t>LabelEvent</t>
  </si>
  <si>
    <t>OptionalLabelEvent</t>
  </si>
  <si>
    <t>Area</t>
  </si>
  <si>
    <t>Device</t>
  </si>
  <si>
    <t>DateTimeEvent</t>
  </si>
  <si>
    <t>DateTimeEvent2</t>
  </si>
  <si>
    <t>LatitudeEvent</t>
  </si>
  <si>
    <t>LongitudeEvent</t>
  </si>
  <si>
    <t>SpringHeatwave_Mesocosm_2024</t>
  </si>
  <si>
    <t>SpringHeatwave_Mesocosm_2024</t>
    <phoneticPr fontId="1" type="noConversion"/>
  </si>
  <si>
    <t>Phytoplankton heatwave experiment</t>
    <phoneticPr fontId="1" type="noConversion"/>
  </si>
  <si>
    <t>Lake Taihu Ecological Research Station, China</t>
    <phoneticPr fontId="1" type="noConversion"/>
  </si>
  <si>
    <t>Outdoor mesocosm tank experiment</t>
    <phoneticPr fontId="1" type="noConversion"/>
  </si>
  <si>
    <t>Comment</t>
  </si>
  <si>
    <t>Comment</t>
    <phoneticPr fontId="1" type="noConversion"/>
  </si>
  <si>
    <t>Eight-day simulated spring heatwave (+8 °C), with nutrient enrichment and mechanical mixing treatments</t>
    <phoneticPr fontId="1" type="noConversion"/>
  </si>
  <si>
    <t>Parameter Name</t>
  </si>
  <si>
    <t>Unit</t>
  </si>
  <si>
    <t>Principal Investigator</t>
  </si>
  <si>
    <t>Method/Device</t>
  </si>
  <si>
    <t>Event label</t>
  </si>
  <si>
    <t>Corresponds to Event table</t>
  </si>
  <si>
    <t>Type of study</t>
  </si>
  <si>
    <t>Mesocosm experiment</t>
  </si>
  <si>
    <t>Sampling date/time, experiment</t>
  </si>
  <si>
    <t>ISO 8601</t>
  </si>
  <si>
    <t>Manual sampling</t>
  </si>
  <si>
    <t>UTC format</t>
  </si>
  <si>
    <t>Depth, water, experiment</t>
  </si>
  <si>
    <t>m</t>
  </si>
  <si>
    <t>Tank identifier</t>
  </si>
  <si>
    <t>Experimental tank ID</t>
  </si>
  <si>
    <t>Heatwave / nutrient / mixing treatments</t>
  </si>
  <si>
    <t>Temperature, water</t>
  </si>
  <si>
    <t>Multiparameter probe</t>
  </si>
  <si>
    <t>Air pressure</t>
  </si>
  <si>
    <t>Barometer</t>
  </si>
  <si>
    <t>Oxygen, dissolved</t>
  </si>
  <si>
    <t>%</t>
  </si>
  <si>
    <t>mg/L</t>
  </si>
  <si>
    <t>Conductivity</t>
  </si>
  <si>
    <t>µS/cm</t>
  </si>
  <si>
    <t>Turbidity</t>
  </si>
  <si>
    <t>NTU</t>
  </si>
  <si>
    <t>Turbidity meter</t>
  </si>
  <si>
    <t>Water column stability index</t>
  </si>
  <si>
    <t>Calculated from temperature profiles</t>
  </si>
  <si>
    <t>Ammonium</t>
  </si>
  <si>
    <t>Spectrophotometric method</t>
  </si>
  <si>
    <t>Nitrite</t>
  </si>
  <si>
    <t>Nitrate</t>
  </si>
  <si>
    <t>Phosphate</t>
  </si>
  <si>
    <t>Molybdenum blue method</t>
  </si>
  <si>
    <t>Total dissolved nitrogen</t>
  </si>
  <si>
    <t>Persulfate digestion</t>
  </si>
  <si>
    <t>Total dissolved phosphorus</t>
  </si>
  <si>
    <t>Total nitrogen</t>
  </si>
  <si>
    <t>Alkaline persulfate digestion</t>
  </si>
  <si>
    <t>Total phosphorus</t>
  </si>
  <si>
    <t>Acid digestion</t>
  </si>
  <si>
    <t>Chlorophyll a</t>
  </si>
  <si>
    <t>µg/L</t>
  </si>
  <si>
    <t>Acetone extraction + spectrophotometry</t>
  </si>
  <si>
    <t>Fluorometric probe</t>
  </si>
  <si>
    <t>Phycocyanin fluorescence</t>
  </si>
  <si>
    <t>RFU</t>
  </si>
  <si>
    <t>Maximum quantum yield (Fv/Fm)</t>
  </si>
  <si>
    <t>PAM fluorometer</t>
  </si>
  <si>
    <t>Phytoplankton biomass</t>
  </si>
  <si>
    <t>Bacillariophyceae biomass</t>
  </si>
  <si>
    <t>Chlorophyta biomass</t>
  </si>
  <si>
    <t>Chrysophyta biomass</t>
  </si>
  <si>
    <t>Cryptophyta biomass</t>
  </si>
  <si>
    <t>Cyanophyceae biomass</t>
  </si>
  <si>
    <t>Euglenophyta biomass</t>
  </si>
  <si>
    <t>Dinophyta biomass</t>
  </si>
  <si>
    <t>Phytoplankton cell concentration</t>
  </si>
  <si>
    <t>Bacillariophyceae cell concentration</t>
  </si>
  <si>
    <t>Chlorophyta cell concentration</t>
  </si>
  <si>
    <t>Cyanophyceae cell concentration</t>
  </si>
  <si>
    <t>Cryptophyta cell concentration</t>
  </si>
  <si>
    <t>Chrysophyta cell concentration</t>
  </si>
  <si>
    <t>Euglenophyta cell concentration</t>
  </si>
  <si>
    <t>Dinophyta cell concentration</t>
  </si>
  <si>
    <t>Species richness</t>
  </si>
  <si>
    <t>Count</t>
  </si>
  <si>
    <t>Margalef index</t>
  </si>
  <si>
    <t>Calculated</t>
  </si>
  <si>
    <t>Shannon index</t>
  </si>
  <si>
    <t>Pielou index</t>
  </si>
  <si>
    <t>Simpson index</t>
  </si>
  <si>
    <t xml:space="preserve"> 30 cm below the water surface= surface;  bottom overlying water immediately above the sediment surface = bottom</t>
    <phoneticPr fontId="1" type="noConversion"/>
  </si>
  <si>
    <t>Mesocosm experiment</t>
    <phoneticPr fontId="1" type="noConversion"/>
  </si>
  <si>
    <t>SpringHeatwave_Mesocosm_2025</t>
  </si>
  <si>
    <t>SpringHeatwave_Mesocosm_2026</t>
  </si>
  <si>
    <t>SpringHeatwave_Mesocosm_2027</t>
  </si>
  <si>
    <t>SpringHeatwave_Mesocosm_2028</t>
  </si>
  <si>
    <t>SpringHeatwave_Mesocosm_2029</t>
  </si>
  <si>
    <t>SpringHeatwave_Mesocosm_2030</t>
  </si>
  <si>
    <t>SpringHeatwave_Mesocosm_2031</t>
  </si>
  <si>
    <t>SpringHeatwave_Mesocosm_2032</t>
  </si>
  <si>
    <t>SpringHeatwave_Mesocosm_2033</t>
  </si>
  <si>
    <t>SpringHeatwave_Mesocosm_2034</t>
  </si>
  <si>
    <t>SpringHeatwave_Mesocosm_2035</t>
  </si>
  <si>
    <t>SpringHeatwave_Mesocosm_2036</t>
  </si>
  <si>
    <t>SpringHeatwave_Mesocosm_2037</t>
  </si>
  <si>
    <t>SpringHeatwave_Mesocosm_2038</t>
  </si>
  <si>
    <t>SpringHeatwave_Mesocosm_2039</t>
  </si>
  <si>
    <t>SpringHeatwave_Mesocosm_2040</t>
  </si>
  <si>
    <t>SpringHeatwave_Mesocosm_2041</t>
  </si>
  <si>
    <t>SpringHeatwave_Mesocosm_2042</t>
  </si>
  <si>
    <t>SpringHeatwave_Mesocosm_2043</t>
  </si>
  <si>
    <t>SpringHeatwave_Mesocosm_2044</t>
  </si>
  <si>
    <t>SpringHeatwave_Mesocosm_2045</t>
  </si>
  <si>
    <t>SpringHeatwave_Mesocosm_2046</t>
  </si>
  <si>
    <t>SpringHeatwave_Mesocosm_2047</t>
  </si>
  <si>
    <t>SpringHeatwave_Mesocosm_2048</t>
  </si>
  <si>
    <t>SpringHeatwave_Mesocosm_2049</t>
  </si>
  <si>
    <t>SpringHeatwave_Mesocosm_2050</t>
  </si>
  <si>
    <t>SpringHeatwave_Mesocosm_2051</t>
  </si>
  <si>
    <t>SpringHeatwave_Mesocosm_2052</t>
  </si>
  <si>
    <t>SpringHeatwave_Mesocosm_2053</t>
  </si>
  <si>
    <t>SpringHeatwave_Mesocosm_2054</t>
  </si>
  <si>
    <t>SpringHeatwave_Mesocosm_2055</t>
  </si>
  <si>
    <t>SpringHeatwave_Mesocosm_2056</t>
  </si>
  <si>
    <t>SpringHeatwave_Mesocosm_2057</t>
  </si>
  <si>
    <t>SpringHeatwave_Mesocosm_2058</t>
  </si>
  <si>
    <t>SpringHeatwave_Mesocosm_2059</t>
  </si>
  <si>
    <t>SpringHeatwave_Mesocosm_2060</t>
  </si>
  <si>
    <t>SpringHeatwave_Mesocosm_2061</t>
  </si>
  <si>
    <t>SpringHeatwave_Mesocosm_2062</t>
  </si>
  <si>
    <t>SpringHeatwave_Mesocosm_2063</t>
  </si>
  <si>
    <t>SpringHeatwave_Mesocosm_2064</t>
  </si>
  <si>
    <t>SpringHeatwave_Mesocosm_2065</t>
  </si>
  <si>
    <t>SpringHeatwave_Mesocosm_2066</t>
  </si>
  <si>
    <t>SpringHeatwave_Mesocosm_2067</t>
  </si>
  <si>
    <t>SpringHeatwave_Mesocosm_2068</t>
  </si>
  <si>
    <t>SpringHeatwave_Mesocosm_2069</t>
  </si>
  <si>
    <t>SpringHeatwave_Mesocosm_2070</t>
  </si>
  <si>
    <t>SpringHeatwave_Mesocosm_2071</t>
  </si>
  <si>
    <t>SpringHeatwave_Mesocosm_2072</t>
  </si>
  <si>
    <t>SpringHeatwave_Mesocosm_2073</t>
  </si>
  <si>
    <t>Surface (30 cm)</t>
    <phoneticPr fontId="1" type="noConversion"/>
  </si>
  <si>
    <t>LatitudeEvent</t>
    <phoneticPr fontId="1" type="noConversion"/>
  </si>
  <si>
    <t>LongitudeEvent</t>
    <phoneticPr fontId="1" type="noConversion"/>
  </si>
  <si>
    <t>degC</t>
    <phoneticPr fontId="1" type="noConversion"/>
  </si>
  <si>
    <t>DO_surface[mg/L]</t>
    <phoneticPr fontId="1" type="noConversion"/>
  </si>
  <si>
    <t>DO[%]</t>
    <phoneticPr fontId="1" type="noConversion"/>
  </si>
  <si>
    <t>°C</t>
    <phoneticPr fontId="1" type="noConversion"/>
  </si>
  <si>
    <t>Temp_surface[°C]</t>
    <phoneticPr fontId="1" type="noConversion"/>
  </si>
  <si>
    <t>NH4_bottom[mg/L]</t>
    <phoneticPr fontId="1" type="noConversion"/>
  </si>
  <si>
    <t>NO2_bottom[mg/L]</t>
    <phoneticPr fontId="1" type="noConversion"/>
  </si>
  <si>
    <t>NO3_N_bottom[mg/L]</t>
    <phoneticPr fontId="1" type="noConversion"/>
  </si>
  <si>
    <t>NOx_bottom[mg/L]</t>
    <phoneticPr fontId="1" type="noConversion"/>
  </si>
  <si>
    <t>PO4_bottom[mg/L]</t>
    <phoneticPr fontId="1" type="noConversion"/>
  </si>
  <si>
    <t>TDN_bottom[mg/L]</t>
    <phoneticPr fontId="1" type="noConversion"/>
  </si>
  <si>
    <t>TDP_bottom[mg/L]</t>
    <phoneticPr fontId="1" type="noConversion"/>
  </si>
  <si>
    <t>TN_bottom[mg/L]</t>
    <phoneticPr fontId="1" type="noConversion"/>
  </si>
  <si>
    <t>TP_bottom[mg/L]</t>
    <phoneticPr fontId="1" type="noConversion"/>
  </si>
  <si>
    <t>NH4_surface[mg/L]</t>
    <phoneticPr fontId="1" type="noConversion"/>
  </si>
  <si>
    <t>NO2_surface[mg/L]</t>
    <phoneticPr fontId="1" type="noConversion"/>
  </si>
  <si>
    <t>NO3_N_surface[mg/L]</t>
    <phoneticPr fontId="1" type="noConversion"/>
  </si>
  <si>
    <t>NOx_surface[mg/L]</t>
    <phoneticPr fontId="1" type="noConversion"/>
  </si>
  <si>
    <t>PO4_surface[mg/L]</t>
    <phoneticPr fontId="1" type="noConversion"/>
  </si>
  <si>
    <t>TDN_surface[mg/L]</t>
    <phoneticPr fontId="1" type="noConversion"/>
  </si>
  <si>
    <t>TDP_surface[mg/L]</t>
    <phoneticPr fontId="1" type="noConversion"/>
  </si>
  <si>
    <t>TN_surface[mg/L]</t>
    <phoneticPr fontId="1" type="noConversion"/>
  </si>
  <si>
    <t>TP_surface[mg/L]</t>
    <phoneticPr fontId="1" type="noConversion"/>
  </si>
  <si>
    <t>Fv_Fm</t>
    <phoneticPr fontId="1" type="noConversion"/>
  </si>
  <si>
    <t>total_biomass[mg/L]</t>
    <phoneticPr fontId="1" type="noConversion"/>
  </si>
  <si>
    <t>Bacillariophyceae_bio[mg/L]</t>
    <phoneticPr fontId="1" type="noConversion"/>
  </si>
  <si>
    <t>Chlorophyta_bio[mg/L]</t>
    <phoneticPr fontId="1" type="noConversion"/>
  </si>
  <si>
    <t>Chrysophyta_bio[mg/L]</t>
    <phoneticPr fontId="1" type="noConversion"/>
  </si>
  <si>
    <t>Cryptophyta_bio[mg/L]</t>
    <phoneticPr fontId="1" type="noConversion"/>
  </si>
  <si>
    <t>Cyanophyceae_bio[mg/L]</t>
    <phoneticPr fontId="1" type="noConversion"/>
  </si>
  <si>
    <t>Euglenophyta_bio[mg/L]</t>
    <phoneticPr fontId="1" type="noConversion"/>
  </si>
  <si>
    <t>Dinophyta_bio[mg/L]</t>
    <phoneticPr fontId="1" type="noConversion"/>
  </si>
  <si>
    <t>Chlamydomonas_sp_bio[mg/L]</t>
    <phoneticPr fontId="1" type="noConversion"/>
  </si>
  <si>
    <t>Chlorella_sp_bio[mg/L]</t>
    <phoneticPr fontId="1" type="noConversion"/>
  </si>
  <si>
    <t>Closterium_sp_bio[mg/L]</t>
    <phoneticPr fontId="1" type="noConversion"/>
  </si>
  <si>
    <t>Cryptomonas_sp_bio[mg/L]</t>
    <phoneticPr fontId="1" type="noConversion"/>
  </si>
  <si>
    <t>Kirchneriella_sp_bio[mg/L]</t>
    <phoneticPr fontId="1" type="noConversion"/>
  </si>
  <si>
    <t>Microcystis_sp_bio[mg/L]</t>
    <phoneticPr fontId="1" type="noConversion"/>
  </si>
  <si>
    <t>Navicula_sp_bio[mg/L]</t>
    <phoneticPr fontId="1" type="noConversion"/>
  </si>
  <si>
    <t>Schroederia_sp_bio[mg/L]</t>
    <phoneticPr fontId="1" type="noConversion"/>
  </si>
  <si>
    <t>Synedra_sp_bio[mg/L]</t>
    <phoneticPr fontId="1" type="noConversion"/>
  </si>
  <si>
    <t>Ulnaria_sp_bio[mg/L]</t>
    <phoneticPr fontId="1" type="noConversion"/>
  </si>
  <si>
    <t>Ulothrix_sp_bio[mg/L]</t>
    <phoneticPr fontId="1" type="noConversion"/>
  </si>
  <si>
    <t>total_cells[10^4 cells/L]</t>
    <phoneticPr fontId="1" type="noConversion"/>
  </si>
  <si>
    <t>Bacillariophyceae_cells[10^4 cells/L]</t>
    <phoneticPr fontId="1" type="noConversion"/>
  </si>
  <si>
    <t>Chlorophyta_cells[10^4 cells/L]</t>
    <phoneticPr fontId="1" type="noConversion"/>
  </si>
  <si>
    <t>Cyanophyceae_cells[10^4 cells/L]</t>
    <phoneticPr fontId="1" type="noConversion"/>
  </si>
  <si>
    <t>Cryptophyta_cells[10^4 cells/L]</t>
    <phoneticPr fontId="1" type="noConversion"/>
  </si>
  <si>
    <t>Chrysophyta_cells[10^4 cells/L]</t>
    <phoneticPr fontId="1" type="noConversion"/>
  </si>
  <si>
    <t>Euglenophyta_cells[10^4 cells/L]</t>
    <phoneticPr fontId="1" type="noConversion"/>
  </si>
  <si>
    <t>Closterium_sp_cells[10^4 cells/L]</t>
    <phoneticPr fontId="1" type="noConversion"/>
  </si>
  <si>
    <t>Chlorella_sp_cells[10^4 cells/L]</t>
    <phoneticPr fontId="1" type="noConversion"/>
  </si>
  <si>
    <t>Aphanocapsa_sp_cells[10^4 cells/L]</t>
    <phoneticPr fontId="1" type="noConversion"/>
  </si>
  <si>
    <t>Pseudanabaena_sp_cells[10^4 cells/L]</t>
    <phoneticPr fontId="1" type="noConversion"/>
  </si>
  <si>
    <t>Schroederia_sp_cells[10^4 cells/L]</t>
    <phoneticPr fontId="1" type="noConversion"/>
  </si>
  <si>
    <t>Dinobryon_sp_cells[10^4 cells/L]</t>
    <phoneticPr fontId="1" type="noConversion"/>
  </si>
  <si>
    <t>Crucigenia_sp_cells[10^4 cells/L]</t>
    <phoneticPr fontId="1" type="noConversion"/>
  </si>
  <si>
    <t>Cuspidothrix_sp_cells[10^4 cells/L]</t>
    <phoneticPr fontId="1" type="noConversion"/>
  </si>
  <si>
    <t>Dictyosphaerium_sp_cells[10^4 cells/L]</t>
    <phoneticPr fontId="1" type="noConversion"/>
  </si>
  <si>
    <t>Merismopedia_sp_cells[10^4 cells/L]</t>
    <phoneticPr fontId="1" type="noConversion"/>
  </si>
  <si>
    <t>stability [J m^-2]</t>
    <phoneticPr fontId="1" type="noConversion"/>
  </si>
  <si>
    <t xml:space="preserve"> J m^-2</t>
    <phoneticPr fontId="1" type="noConversion"/>
  </si>
  <si>
    <t>Xiao Man</t>
    <phoneticPr fontId="1" type="noConversion"/>
  </si>
  <si>
    <t>Filamentous phytoplankton ratio</t>
  </si>
  <si>
    <t>proportion</t>
  </si>
  <si>
    <t>Bloom-forming phytoplankton ratio</t>
  </si>
  <si>
    <t>Filamentous phytoplankton cell concentration</t>
  </si>
  <si>
    <t>cells/L</t>
  </si>
  <si>
    <t>Bloom-forming phytoplankton cell concentration</t>
  </si>
  <si>
    <t>Latitude</t>
  </si>
  <si>
    <t>decimal degree</t>
  </si>
  <si>
    <t>GPS</t>
  </si>
  <si>
    <t>Longitude</t>
  </si>
  <si>
    <t>Phycocyanin concentration</t>
  </si>
  <si>
    <t>Surface / bottom</t>
  </si>
  <si>
    <t>Dissolved inorganic nitrogen</t>
  </si>
  <si>
    <t>NOx</t>
  </si>
  <si>
    <t>Microscopy + biovolume estimation</t>
  </si>
  <si>
    <t>Total biomass</t>
  </si>
  <si>
    <t>Chlamydomonas biomass</t>
  </si>
  <si>
    <t>Genus level</t>
  </si>
  <si>
    <t>Chlorella biomass</t>
  </si>
  <si>
    <t>Closterium biomass</t>
  </si>
  <si>
    <t>Cryptomonas biomass</t>
  </si>
  <si>
    <t>Kirchneriella biomass</t>
  </si>
  <si>
    <t>Microcystis biomass</t>
  </si>
  <si>
    <t>Navicula biomass</t>
  </si>
  <si>
    <t>Schroederia biomass</t>
  </si>
  <si>
    <t>Synedra biomass</t>
  </si>
  <si>
    <t>Ulnaria biomass</t>
  </si>
  <si>
    <t>Ulothrix biomass</t>
  </si>
  <si>
    <t>Inverted microscopy (Utermöhl)</t>
  </si>
  <si>
    <t>Total</t>
  </si>
  <si>
    <t>Closterium cell concentration</t>
  </si>
  <si>
    <t>Chlorella cell concentration</t>
  </si>
  <si>
    <t>Aphanocapsa cell concentration</t>
  </si>
  <si>
    <t>Pseudanabaena cell concentration</t>
  </si>
  <si>
    <t>Schroederia cell concentration</t>
  </si>
  <si>
    <t>Dinobryon cell concentration</t>
  </si>
  <si>
    <t>Crucigenia cell concentration</t>
  </si>
  <si>
    <t>Cuspidothrix cell concentration</t>
  </si>
  <si>
    <t>Dictyosphaerium cell concentration</t>
  </si>
  <si>
    <t>Merismopedia cell concentration</t>
  </si>
  <si>
    <t>Number of taxa</t>
  </si>
  <si>
    <t>Bacillariophyceae relative abundance</t>
  </si>
  <si>
    <t>Cell-based</t>
  </si>
  <si>
    <t>Chlorophyta relative abundance</t>
  </si>
  <si>
    <t>Cryptophyta relative abundance</t>
  </si>
  <si>
    <t>Cyanophyceae relative abundance</t>
  </si>
  <si>
    <t>Euglenophyta relative abundance</t>
  </si>
  <si>
    <t>Dinophyta relative abundance</t>
  </si>
  <si>
    <t>Chrysophyta relative abundance</t>
  </si>
  <si>
    <t>Chlorella relative abundance</t>
  </si>
  <si>
    <t>Closterium relative abundance</t>
  </si>
  <si>
    <t>Pseudanabaena relative abundance</t>
  </si>
  <si>
    <t>Kirchneriella relative abundance</t>
  </si>
  <si>
    <t>Scenedesmus relative abundance</t>
  </si>
  <si>
    <t>Closterium ceratium relative abundance</t>
  </si>
  <si>
    <t>Species level</t>
  </si>
  <si>
    <t>Kirchneriella obesa relative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</si>
</sst>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9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theme="1"/>
      <name val="Calibri"/>
      <family val="2"/>
      <charset val="1"/>
    </font>
    <font>
      <sz val="10"/>
      <name val="Geneva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top"/>
    </xf>
    <xf numFmtId="0" fontId="0" fillId="3" borderId="0" xfId="0" applyFill="1"/>
    <xf numFmtId="0" fontId="5" fillId="0" borderId="0" xfId="1" applyFont="1"/>
    <xf numFmtId="0" fontId="6" fillId="0" borderId="0" xfId="1" applyFont="1"/>
    <xf numFmtId="176" fontId="0" fillId="0" borderId="0" xfId="0" applyNumberFormat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6" fillId="0" borderId="0" xfId="0" applyNumberFormat="1" applyFont="1" applyAlignment="1">
      <alignment horizontal="left" wrapText="1"/>
    </xf>
    <xf numFmtId="176" fontId="0" fillId="0" borderId="0" xfId="0" applyNumberFormat="1" applyAlignment="1">
      <alignment vertical="center" wrapText="1"/>
    </xf>
    <xf numFmtId="0" fontId="8" fillId="0" borderId="0" xfId="1" applyFont="1"/>
    <xf numFmtId="0" fontId="6" fillId="0" borderId="0" xfId="0" applyFont="1" applyAlignment="1">
      <alignment horizontal="left" vertical="center" wrapText="1"/>
    </xf>
  </cellXfs>
  <cellStyles count="3">
    <cellStyle name="Standard 2" xfId="2" xr:uid="{B6D6BAD2-5AD1-472D-B85F-040186C018FE}"/>
    <cellStyle name="常规" xfId="0" builtinId="0"/>
    <cellStyle name="常规 2" xfId="1" xr:uid="{C192FCF8-E822-4C32-BC80-BD82E87781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9696-1EE3-49A0-BF92-04E16FF0E342}">
  <dimension ref="A1:I2"/>
  <sheetViews>
    <sheetView workbookViewId="0">
      <selection activeCell="G1" sqref="G1:H1048576"/>
    </sheetView>
  </sheetViews>
  <sheetFormatPr defaultColWidth="31.46484375" defaultRowHeight="14.25"/>
  <cols>
    <col min="3" max="3" width="41.6640625" customWidth="1"/>
  </cols>
  <sheetData>
    <row r="1" spans="1:9">
      <c r="A1" s="6" t="s">
        <v>56</v>
      </c>
      <c r="B1" s="7" t="s">
        <v>57</v>
      </c>
      <c r="C1" s="7" t="s">
        <v>58</v>
      </c>
      <c r="D1" s="6" t="s">
        <v>59</v>
      </c>
      <c r="E1" s="6" t="s">
        <v>60</v>
      </c>
      <c r="F1" s="7" t="s">
        <v>61</v>
      </c>
      <c r="G1" s="6" t="s">
        <v>62</v>
      </c>
      <c r="H1" s="6" t="s">
        <v>63</v>
      </c>
      <c r="I1" s="6" t="s">
        <v>70</v>
      </c>
    </row>
    <row r="2" spans="1:9">
      <c r="A2" t="s">
        <v>65</v>
      </c>
      <c r="B2" t="s">
        <v>66</v>
      </c>
      <c r="C2" t="s">
        <v>67</v>
      </c>
      <c r="D2" t="s">
        <v>68</v>
      </c>
      <c r="E2" s="8">
        <v>45397</v>
      </c>
      <c r="F2" s="8">
        <v>45405</v>
      </c>
      <c r="G2">
        <v>31.4</v>
      </c>
      <c r="H2">
        <v>120.216667</v>
      </c>
      <c r="I2" t="s">
        <v>71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D0E0-823A-4AF4-B646-851403A4CAA7}">
  <dimension ref="A1:E89"/>
  <sheetViews>
    <sheetView tabSelected="1" topLeftCell="A74" workbookViewId="0">
      <selection activeCell="B97" sqref="B97"/>
    </sheetView>
  </sheetViews>
  <sheetFormatPr defaultColWidth="37" defaultRowHeight="14.25"/>
  <sheetData>
    <row r="1" spans="1:5">
      <c r="A1" s="9" t="s">
        <v>72</v>
      </c>
      <c r="B1" s="9" t="s">
        <v>73</v>
      </c>
      <c r="C1" s="14" t="s">
        <v>74</v>
      </c>
      <c r="D1" s="9" t="s">
        <v>75</v>
      </c>
      <c r="E1" s="9" t="s">
        <v>69</v>
      </c>
    </row>
    <row r="2" spans="1:5">
      <c r="A2" s="10" t="s">
        <v>76</v>
      </c>
      <c r="B2" t="s">
        <v>65</v>
      </c>
      <c r="C2" s="10" t="s">
        <v>263</v>
      </c>
      <c r="D2" s="10"/>
      <c r="E2" s="10" t="s">
        <v>77</v>
      </c>
    </row>
    <row r="3" spans="1:5">
      <c r="A3" s="10" t="s">
        <v>78</v>
      </c>
      <c r="B3" s="10" t="s">
        <v>148</v>
      </c>
      <c r="C3" s="10" t="s">
        <v>263</v>
      </c>
      <c r="D3" s="10"/>
      <c r="E3" s="10" t="s">
        <v>79</v>
      </c>
    </row>
    <row r="4" spans="1:5">
      <c r="A4" s="10" t="s">
        <v>80</v>
      </c>
      <c r="B4" s="10" t="s">
        <v>81</v>
      </c>
      <c r="C4" s="10" t="s">
        <v>263</v>
      </c>
      <c r="D4" s="10" t="s">
        <v>82</v>
      </c>
      <c r="E4" s="10" t="s">
        <v>83</v>
      </c>
    </row>
    <row r="5" spans="1:5" ht="42.75">
      <c r="A5" s="10" t="s">
        <v>84</v>
      </c>
      <c r="B5" s="10" t="s">
        <v>85</v>
      </c>
      <c r="C5" s="10" t="s">
        <v>263</v>
      </c>
      <c r="D5" s="10"/>
      <c r="E5" s="10" t="s">
        <v>147</v>
      </c>
    </row>
    <row r="6" spans="1:5">
      <c r="A6" s="10" t="s">
        <v>270</v>
      </c>
      <c r="B6" s="10" t="s">
        <v>271</v>
      </c>
      <c r="C6" s="10" t="s">
        <v>263</v>
      </c>
      <c r="D6" s="10" t="s">
        <v>272</v>
      </c>
      <c r="E6" s="10"/>
    </row>
    <row r="7" spans="1:5">
      <c r="A7" s="10" t="s">
        <v>273</v>
      </c>
      <c r="B7" s="10" t="s">
        <v>271</v>
      </c>
      <c r="C7" s="10" t="s">
        <v>263</v>
      </c>
      <c r="D7" s="10" t="s">
        <v>272</v>
      </c>
      <c r="E7" s="10"/>
    </row>
    <row r="8" spans="1:5">
      <c r="A8" s="10" t="s">
        <v>86</v>
      </c>
      <c r="B8" s="10"/>
      <c r="C8" s="10" t="s">
        <v>263</v>
      </c>
      <c r="D8" s="10"/>
      <c r="E8" s="10" t="s">
        <v>87</v>
      </c>
    </row>
    <row r="9" spans="1:5">
      <c r="A9" s="10" t="s">
        <v>2</v>
      </c>
      <c r="B9" s="10"/>
      <c r="C9" s="10" t="s">
        <v>263</v>
      </c>
      <c r="D9" s="10"/>
      <c r="E9" s="10" t="s">
        <v>88</v>
      </c>
    </row>
    <row r="10" spans="1:5">
      <c r="A10" s="10" t="s">
        <v>89</v>
      </c>
      <c r="B10" s="10" t="s">
        <v>204</v>
      </c>
      <c r="C10" s="10" t="s">
        <v>263</v>
      </c>
      <c r="D10" s="10" t="s">
        <v>90</v>
      </c>
      <c r="E10" s="10" t="s">
        <v>198</v>
      </c>
    </row>
    <row r="11" spans="1:5">
      <c r="A11" s="10" t="s">
        <v>91</v>
      </c>
      <c r="B11" s="10" t="s">
        <v>3</v>
      </c>
      <c r="C11" s="10" t="s">
        <v>263</v>
      </c>
      <c r="D11" s="10" t="s">
        <v>92</v>
      </c>
      <c r="E11" s="10"/>
    </row>
    <row r="12" spans="1:5">
      <c r="A12" s="10" t="s">
        <v>93</v>
      </c>
      <c r="B12" s="10" t="s">
        <v>94</v>
      </c>
      <c r="C12" s="10" t="s">
        <v>263</v>
      </c>
      <c r="D12" s="10" t="s">
        <v>90</v>
      </c>
      <c r="E12" s="10"/>
    </row>
    <row r="13" spans="1:5">
      <c r="A13" s="10" t="s">
        <v>93</v>
      </c>
      <c r="B13" s="10" t="s">
        <v>95</v>
      </c>
      <c r="C13" s="10" t="s">
        <v>263</v>
      </c>
      <c r="D13" s="10" t="s">
        <v>90</v>
      </c>
      <c r="E13" s="10" t="s">
        <v>198</v>
      </c>
    </row>
    <row r="14" spans="1:5">
      <c r="A14" s="10" t="s">
        <v>96</v>
      </c>
      <c r="B14" s="10" t="s">
        <v>97</v>
      </c>
      <c r="C14" s="10" t="s">
        <v>263</v>
      </c>
      <c r="D14" s="10" t="s">
        <v>90</v>
      </c>
      <c r="E14" s="10"/>
    </row>
    <row r="15" spans="1:5">
      <c r="A15" s="10" t="s">
        <v>98</v>
      </c>
      <c r="B15" s="10" t="s">
        <v>99</v>
      </c>
      <c r="C15" s="10" t="s">
        <v>263</v>
      </c>
      <c r="D15" s="10" t="s">
        <v>100</v>
      </c>
      <c r="E15" s="10" t="s">
        <v>198</v>
      </c>
    </row>
    <row r="16" spans="1:5">
      <c r="A16" s="10" t="s">
        <v>101</v>
      </c>
      <c r="B16" s="10" t="s">
        <v>262</v>
      </c>
      <c r="C16" s="10" t="s">
        <v>263</v>
      </c>
      <c r="D16" s="10" t="s">
        <v>102</v>
      </c>
      <c r="E16" s="10"/>
    </row>
    <row r="17" spans="1:5">
      <c r="A17" s="10" t="s">
        <v>120</v>
      </c>
      <c r="B17" s="10" t="s">
        <v>121</v>
      </c>
      <c r="C17" s="10" t="s">
        <v>263</v>
      </c>
      <c r="D17" s="10" t="s">
        <v>119</v>
      </c>
      <c r="E17" s="10"/>
    </row>
    <row r="18" spans="1:5">
      <c r="A18" s="10" t="s">
        <v>274</v>
      </c>
      <c r="B18" s="10" t="s">
        <v>117</v>
      </c>
      <c r="C18" s="10" t="s">
        <v>263</v>
      </c>
      <c r="D18" s="10" t="s">
        <v>119</v>
      </c>
      <c r="E18" s="10"/>
    </row>
    <row r="19" spans="1:5">
      <c r="A19" s="10" t="s">
        <v>116</v>
      </c>
      <c r="B19" s="10" t="s">
        <v>117</v>
      </c>
      <c r="C19" s="10" t="s">
        <v>263</v>
      </c>
      <c r="D19" s="10" t="s">
        <v>118</v>
      </c>
      <c r="E19" s="10"/>
    </row>
    <row r="20" spans="1:5">
      <c r="A20" s="10" t="s">
        <v>122</v>
      </c>
      <c r="B20" s="10"/>
      <c r="C20" s="10" t="s">
        <v>263</v>
      </c>
      <c r="D20" s="10" t="s">
        <v>123</v>
      </c>
      <c r="E20" s="10"/>
    </row>
    <row r="21" spans="1:5">
      <c r="A21" s="10" t="s">
        <v>103</v>
      </c>
      <c r="B21" s="10" t="s">
        <v>95</v>
      </c>
      <c r="C21" s="10" t="s">
        <v>263</v>
      </c>
      <c r="D21" s="10" t="s">
        <v>104</v>
      </c>
      <c r="E21" s="10" t="s">
        <v>275</v>
      </c>
    </row>
    <row r="22" spans="1:5">
      <c r="A22" s="10" t="s">
        <v>105</v>
      </c>
      <c r="B22" s="10" t="s">
        <v>95</v>
      </c>
      <c r="C22" s="10" t="s">
        <v>263</v>
      </c>
      <c r="D22" s="10" t="s">
        <v>104</v>
      </c>
      <c r="E22" s="10" t="s">
        <v>275</v>
      </c>
    </row>
    <row r="23" spans="1:5">
      <c r="A23" s="10" t="s">
        <v>106</v>
      </c>
      <c r="B23" s="10" t="s">
        <v>95</v>
      </c>
      <c r="C23" s="10" t="s">
        <v>263</v>
      </c>
      <c r="D23" s="10" t="s">
        <v>104</v>
      </c>
      <c r="E23" s="10" t="s">
        <v>275</v>
      </c>
    </row>
    <row r="24" spans="1:5">
      <c r="A24" s="10" t="s">
        <v>276</v>
      </c>
      <c r="B24" s="10" t="s">
        <v>95</v>
      </c>
      <c r="C24" s="10" t="s">
        <v>263</v>
      </c>
      <c r="D24" s="10" t="s">
        <v>143</v>
      </c>
      <c r="E24" s="10" t="s">
        <v>277</v>
      </c>
    </row>
    <row r="25" spans="1:5">
      <c r="A25" s="10" t="s">
        <v>107</v>
      </c>
      <c r="B25" s="10" t="s">
        <v>95</v>
      </c>
      <c r="C25" s="10" t="s">
        <v>263</v>
      </c>
      <c r="D25" s="10" t="s">
        <v>108</v>
      </c>
      <c r="E25" s="10" t="s">
        <v>275</v>
      </c>
    </row>
    <row r="26" spans="1:5">
      <c r="A26" s="10" t="s">
        <v>109</v>
      </c>
      <c r="B26" s="10" t="s">
        <v>95</v>
      </c>
      <c r="C26" s="10" t="s">
        <v>263</v>
      </c>
      <c r="D26" s="10" t="s">
        <v>110</v>
      </c>
      <c r="E26" s="10"/>
    </row>
    <row r="27" spans="1:5">
      <c r="A27" s="10" t="s">
        <v>111</v>
      </c>
      <c r="B27" s="10" t="s">
        <v>95</v>
      </c>
      <c r="C27" s="10" t="s">
        <v>263</v>
      </c>
      <c r="D27" s="10" t="s">
        <v>110</v>
      </c>
      <c r="E27" s="10"/>
    </row>
    <row r="28" spans="1:5">
      <c r="A28" s="10" t="s">
        <v>112</v>
      </c>
      <c r="B28" s="10" t="s">
        <v>95</v>
      </c>
      <c r="C28" s="10" t="s">
        <v>263</v>
      </c>
      <c r="D28" s="10" t="s">
        <v>113</v>
      </c>
      <c r="E28" s="10"/>
    </row>
    <row r="29" spans="1:5">
      <c r="A29" s="10" t="s">
        <v>114</v>
      </c>
      <c r="B29" s="10" t="s">
        <v>95</v>
      </c>
      <c r="C29" s="10" t="s">
        <v>263</v>
      </c>
      <c r="D29" s="10" t="s">
        <v>115</v>
      </c>
      <c r="E29" s="10"/>
    </row>
    <row r="30" spans="1:5">
      <c r="A30" s="10" t="s">
        <v>124</v>
      </c>
      <c r="B30" s="10" t="s">
        <v>95</v>
      </c>
      <c r="C30" s="10" t="s">
        <v>263</v>
      </c>
      <c r="D30" s="10" t="s">
        <v>278</v>
      </c>
      <c r="E30" s="10" t="s">
        <v>279</v>
      </c>
    </row>
    <row r="31" spans="1:5">
      <c r="A31" s="10" t="s">
        <v>125</v>
      </c>
      <c r="B31" s="10" t="s">
        <v>95</v>
      </c>
      <c r="C31" s="10" t="s">
        <v>263</v>
      </c>
      <c r="D31" s="10" t="s">
        <v>278</v>
      </c>
      <c r="E31" s="10"/>
    </row>
    <row r="32" spans="1:5">
      <c r="A32" s="10" t="s">
        <v>126</v>
      </c>
      <c r="B32" s="10" t="s">
        <v>95</v>
      </c>
      <c r="C32" s="10" t="s">
        <v>263</v>
      </c>
      <c r="D32" s="10" t="s">
        <v>278</v>
      </c>
      <c r="E32" s="10"/>
    </row>
    <row r="33" spans="1:5">
      <c r="A33" s="10" t="s">
        <v>127</v>
      </c>
      <c r="B33" s="10" t="s">
        <v>95</v>
      </c>
      <c r="C33" s="10" t="s">
        <v>263</v>
      </c>
      <c r="D33" s="10" t="s">
        <v>278</v>
      </c>
      <c r="E33" s="10"/>
    </row>
    <row r="34" spans="1:5">
      <c r="A34" s="10" t="s">
        <v>128</v>
      </c>
      <c r="B34" s="10" t="s">
        <v>95</v>
      </c>
      <c r="C34" s="10" t="s">
        <v>263</v>
      </c>
      <c r="D34" s="10" t="s">
        <v>278</v>
      </c>
      <c r="E34" s="10"/>
    </row>
    <row r="35" spans="1:5">
      <c r="A35" s="10" t="s">
        <v>129</v>
      </c>
      <c r="B35" s="10" t="s">
        <v>95</v>
      </c>
      <c r="C35" s="10" t="s">
        <v>263</v>
      </c>
      <c r="D35" s="10" t="s">
        <v>278</v>
      </c>
      <c r="E35" s="10"/>
    </row>
    <row r="36" spans="1:5">
      <c r="A36" s="10" t="s">
        <v>130</v>
      </c>
      <c r="B36" s="10" t="s">
        <v>95</v>
      </c>
      <c r="C36" s="10" t="s">
        <v>263</v>
      </c>
      <c r="D36" s="10" t="s">
        <v>278</v>
      </c>
      <c r="E36" s="10"/>
    </row>
    <row r="37" spans="1:5">
      <c r="A37" s="10" t="s">
        <v>131</v>
      </c>
      <c r="B37" s="10" t="s">
        <v>95</v>
      </c>
      <c r="C37" s="10" t="s">
        <v>263</v>
      </c>
      <c r="D37" s="10" t="s">
        <v>278</v>
      </c>
      <c r="E37" s="10"/>
    </row>
    <row r="38" spans="1:5">
      <c r="A38" s="10" t="s">
        <v>280</v>
      </c>
      <c r="B38" s="10" t="s">
        <v>95</v>
      </c>
      <c r="C38" s="10" t="s">
        <v>263</v>
      </c>
      <c r="D38" s="10" t="s">
        <v>278</v>
      </c>
      <c r="E38" s="10" t="s">
        <v>281</v>
      </c>
    </row>
    <row r="39" spans="1:5">
      <c r="A39" s="10" t="s">
        <v>282</v>
      </c>
      <c r="B39" s="10" t="s">
        <v>95</v>
      </c>
      <c r="C39" s="10" t="s">
        <v>263</v>
      </c>
      <c r="D39" s="10" t="s">
        <v>278</v>
      </c>
      <c r="E39" s="10" t="s">
        <v>281</v>
      </c>
    </row>
    <row r="40" spans="1:5">
      <c r="A40" s="10" t="s">
        <v>283</v>
      </c>
      <c r="B40" s="10" t="s">
        <v>95</v>
      </c>
      <c r="C40" s="10" t="s">
        <v>263</v>
      </c>
      <c r="D40" s="10" t="s">
        <v>278</v>
      </c>
      <c r="E40" s="10" t="s">
        <v>281</v>
      </c>
    </row>
    <row r="41" spans="1:5">
      <c r="A41" s="10" t="s">
        <v>284</v>
      </c>
      <c r="B41" s="10" t="s">
        <v>95</v>
      </c>
      <c r="C41" s="10" t="s">
        <v>263</v>
      </c>
      <c r="D41" s="10" t="s">
        <v>278</v>
      </c>
      <c r="E41" s="10" t="s">
        <v>281</v>
      </c>
    </row>
    <row r="42" spans="1:5">
      <c r="A42" s="10" t="s">
        <v>285</v>
      </c>
      <c r="B42" s="10" t="s">
        <v>95</v>
      </c>
      <c r="C42" s="10" t="s">
        <v>263</v>
      </c>
      <c r="D42" s="10" t="s">
        <v>278</v>
      </c>
      <c r="E42" s="10" t="s">
        <v>281</v>
      </c>
    </row>
    <row r="43" spans="1:5">
      <c r="A43" s="10" t="s">
        <v>286</v>
      </c>
      <c r="B43" s="10" t="s">
        <v>95</v>
      </c>
      <c r="C43" s="10" t="s">
        <v>263</v>
      </c>
      <c r="D43" s="10" t="s">
        <v>278</v>
      </c>
      <c r="E43" s="10" t="s">
        <v>281</v>
      </c>
    </row>
    <row r="44" spans="1:5">
      <c r="A44" s="10" t="s">
        <v>287</v>
      </c>
      <c r="B44" s="10" t="s">
        <v>95</v>
      </c>
      <c r="C44" s="10" t="s">
        <v>263</v>
      </c>
      <c r="D44" s="10" t="s">
        <v>278</v>
      </c>
      <c r="E44" s="10" t="s">
        <v>281</v>
      </c>
    </row>
    <row r="45" spans="1:5">
      <c r="A45" s="10" t="s">
        <v>288</v>
      </c>
      <c r="B45" s="10" t="s">
        <v>95</v>
      </c>
      <c r="C45" s="10" t="s">
        <v>263</v>
      </c>
      <c r="D45" s="10" t="s">
        <v>278</v>
      </c>
      <c r="E45" s="10" t="s">
        <v>281</v>
      </c>
    </row>
    <row r="46" spans="1:5">
      <c r="A46" s="10" t="s">
        <v>289</v>
      </c>
      <c r="B46" s="10" t="s">
        <v>95</v>
      </c>
      <c r="C46" s="10" t="s">
        <v>263</v>
      </c>
      <c r="D46" s="10" t="s">
        <v>278</v>
      </c>
      <c r="E46" s="10" t="s">
        <v>281</v>
      </c>
    </row>
    <row r="47" spans="1:5">
      <c r="A47" s="10" t="s">
        <v>290</v>
      </c>
      <c r="B47" s="10" t="s">
        <v>95</v>
      </c>
      <c r="C47" s="10" t="s">
        <v>263</v>
      </c>
      <c r="D47" s="10" t="s">
        <v>278</v>
      </c>
      <c r="E47" s="10" t="s">
        <v>281</v>
      </c>
    </row>
    <row r="48" spans="1:5">
      <c r="A48" s="10" t="s">
        <v>291</v>
      </c>
      <c r="B48" s="10" t="s">
        <v>95</v>
      </c>
      <c r="C48" s="10" t="s">
        <v>263</v>
      </c>
      <c r="D48" s="10" t="s">
        <v>278</v>
      </c>
      <c r="E48" s="10" t="s">
        <v>281</v>
      </c>
    </row>
    <row r="49" spans="1:5">
      <c r="A49" s="10" t="s">
        <v>132</v>
      </c>
      <c r="B49" s="10" t="s">
        <v>268</v>
      </c>
      <c r="C49" s="10" t="s">
        <v>263</v>
      </c>
      <c r="D49" s="10" t="s">
        <v>292</v>
      </c>
      <c r="E49" s="10" t="s">
        <v>293</v>
      </c>
    </row>
    <row r="50" spans="1:5">
      <c r="A50" s="10" t="s">
        <v>133</v>
      </c>
      <c r="B50" s="10" t="s">
        <v>268</v>
      </c>
      <c r="C50" s="10" t="s">
        <v>263</v>
      </c>
      <c r="D50" s="10" t="s">
        <v>292</v>
      </c>
      <c r="E50" s="10"/>
    </row>
    <row r="51" spans="1:5">
      <c r="A51" s="10" t="s">
        <v>134</v>
      </c>
      <c r="B51" s="10" t="s">
        <v>268</v>
      </c>
      <c r="C51" s="10" t="s">
        <v>263</v>
      </c>
      <c r="D51" s="10" t="s">
        <v>292</v>
      </c>
      <c r="E51" s="10"/>
    </row>
    <row r="52" spans="1:5">
      <c r="A52" s="10" t="s">
        <v>135</v>
      </c>
      <c r="B52" s="10" t="s">
        <v>268</v>
      </c>
      <c r="C52" s="10" t="s">
        <v>263</v>
      </c>
      <c r="D52" s="10" t="s">
        <v>292</v>
      </c>
      <c r="E52" s="10"/>
    </row>
    <row r="53" spans="1:5">
      <c r="A53" s="10" t="s">
        <v>136</v>
      </c>
      <c r="B53" s="10" t="s">
        <v>268</v>
      </c>
      <c r="C53" s="10" t="s">
        <v>263</v>
      </c>
      <c r="D53" s="10" t="s">
        <v>292</v>
      </c>
      <c r="E53" s="10"/>
    </row>
    <row r="54" spans="1:5">
      <c r="A54" s="10" t="s">
        <v>137</v>
      </c>
      <c r="B54" s="10" t="s">
        <v>268</v>
      </c>
      <c r="C54" s="10" t="s">
        <v>263</v>
      </c>
      <c r="D54" s="10" t="s">
        <v>292</v>
      </c>
      <c r="E54" s="10"/>
    </row>
    <row r="55" spans="1:5">
      <c r="A55" s="10" t="s">
        <v>138</v>
      </c>
      <c r="B55" s="10" t="s">
        <v>268</v>
      </c>
      <c r="C55" s="10" t="s">
        <v>263</v>
      </c>
      <c r="D55" s="10" t="s">
        <v>292</v>
      </c>
      <c r="E55" s="10"/>
    </row>
    <row r="56" spans="1:5">
      <c r="A56" s="10" t="s">
        <v>139</v>
      </c>
      <c r="B56" s="10" t="s">
        <v>268</v>
      </c>
      <c r="C56" s="10" t="s">
        <v>263</v>
      </c>
      <c r="D56" s="10" t="s">
        <v>292</v>
      </c>
      <c r="E56" s="10"/>
    </row>
    <row r="57" spans="1:5">
      <c r="A57" s="10" t="s">
        <v>294</v>
      </c>
      <c r="B57" s="10" t="s">
        <v>268</v>
      </c>
      <c r="C57" s="10" t="s">
        <v>263</v>
      </c>
      <c r="D57" s="10" t="s">
        <v>292</v>
      </c>
      <c r="E57" s="10" t="s">
        <v>281</v>
      </c>
    </row>
    <row r="58" spans="1:5">
      <c r="A58" s="10" t="s">
        <v>295</v>
      </c>
      <c r="B58" s="10" t="s">
        <v>268</v>
      </c>
      <c r="C58" s="10" t="s">
        <v>263</v>
      </c>
      <c r="D58" s="10" t="s">
        <v>292</v>
      </c>
      <c r="E58" s="10" t="s">
        <v>281</v>
      </c>
    </row>
    <row r="59" spans="1:5">
      <c r="A59" s="10" t="s">
        <v>296</v>
      </c>
      <c r="B59" s="10" t="s">
        <v>268</v>
      </c>
      <c r="C59" s="10" t="s">
        <v>263</v>
      </c>
      <c r="D59" s="10" t="s">
        <v>292</v>
      </c>
      <c r="E59" s="10" t="s">
        <v>281</v>
      </c>
    </row>
    <row r="60" spans="1:5">
      <c r="A60" s="10" t="s">
        <v>297</v>
      </c>
      <c r="B60" s="10" t="s">
        <v>268</v>
      </c>
      <c r="C60" s="10" t="s">
        <v>263</v>
      </c>
      <c r="D60" s="10" t="s">
        <v>292</v>
      </c>
      <c r="E60" s="10" t="s">
        <v>281</v>
      </c>
    </row>
    <row r="61" spans="1:5">
      <c r="A61" s="10" t="s">
        <v>298</v>
      </c>
      <c r="B61" s="10" t="s">
        <v>268</v>
      </c>
      <c r="C61" s="10" t="s">
        <v>263</v>
      </c>
      <c r="D61" s="10" t="s">
        <v>292</v>
      </c>
      <c r="E61" s="10" t="s">
        <v>281</v>
      </c>
    </row>
    <row r="62" spans="1:5">
      <c r="A62" s="10" t="s">
        <v>299</v>
      </c>
      <c r="B62" s="10" t="s">
        <v>268</v>
      </c>
      <c r="C62" s="10" t="s">
        <v>263</v>
      </c>
      <c r="D62" s="10" t="s">
        <v>292</v>
      </c>
      <c r="E62" s="10" t="s">
        <v>281</v>
      </c>
    </row>
    <row r="63" spans="1:5">
      <c r="A63" s="10" t="s">
        <v>300</v>
      </c>
      <c r="B63" s="10" t="s">
        <v>268</v>
      </c>
      <c r="C63" s="10" t="s">
        <v>263</v>
      </c>
      <c r="D63" s="10" t="s">
        <v>292</v>
      </c>
      <c r="E63" s="10" t="s">
        <v>281</v>
      </c>
    </row>
    <row r="64" spans="1:5">
      <c r="A64" s="10" t="s">
        <v>301</v>
      </c>
      <c r="B64" s="10" t="s">
        <v>268</v>
      </c>
      <c r="C64" s="10" t="s">
        <v>263</v>
      </c>
      <c r="D64" s="10" t="s">
        <v>292</v>
      </c>
      <c r="E64" s="10" t="s">
        <v>281</v>
      </c>
    </row>
    <row r="65" spans="1:5">
      <c r="A65" s="10" t="s">
        <v>302</v>
      </c>
      <c r="B65" s="10" t="s">
        <v>268</v>
      </c>
      <c r="C65" s="10" t="s">
        <v>263</v>
      </c>
      <c r="D65" s="10" t="s">
        <v>292</v>
      </c>
      <c r="E65" s="10" t="s">
        <v>281</v>
      </c>
    </row>
    <row r="66" spans="1:5">
      <c r="A66" s="10" t="s">
        <v>303</v>
      </c>
      <c r="B66" s="10" t="s">
        <v>268</v>
      </c>
      <c r="C66" s="10" t="s">
        <v>263</v>
      </c>
      <c r="D66" s="10" t="s">
        <v>292</v>
      </c>
      <c r="E66" s="10" t="s">
        <v>281</v>
      </c>
    </row>
    <row r="67" spans="1:5">
      <c r="A67" s="10" t="s">
        <v>140</v>
      </c>
      <c r="B67" s="10"/>
      <c r="C67" s="10" t="s">
        <v>263</v>
      </c>
      <c r="D67" s="10" t="s">
        <v>141</v>
      </c>
      <c r="E67" s="10" t="s">
        <v>304</v>
      </c>
    </row>
    <row r="68" spans="1:5">
      <c r="A68" s="10" t="s">
        <v>142</v>
      </c>
      <c r="B68" s="10"/>
      <c r="C68" s="10" t="s">
        <v>263</v>
      </c>
      <c r="D68" s="10" t="s">
        <v>143</v>
      </c>
      <c r="E68" s="10"/>
    </row>
    <row r="69" spans="1:5">
      <c r="A69" s="10" t="s">
        <v>144</v>
      </c>
      <c r="B69" s="10"/>
      <c r="C69" s="10" t="s">
        <v>263</v>
      </c>
      <c r="D69" s="10" t="s">
        <v>143</v>
      </c>
      <c r="E69" s="10"/>
    </row>
    <row r="70" spans="1:5">
      <c r="A70" s="10" t="s">
        <v>145</v>
      </c>
      <c r="B70" s="10"/>
      <c r="C70" s="10" t="s">
        <v>263</v>
      </c>
      <c r="D70" s="10" t="s">
        <v>143</v>
      </c>
      <c r="E70" s="10"/>
    </row>
    <row r="71" spans="1:5">
      <c r="A71" s="10" t="s">
        <v>146</v>
      </c>
      <c r="B71" s="10"/>
      <c r="C71" s="10" t="s">
        <v>263</v>
      </c>
      <c r="D71" s="10" t="s">
        <v>143</v>
      </c>
      <c r="E71" s="10"/>
    </row>
    <row r="72" spans="1:5">
      <c r="A72" s="10" t="s">
        <v>305</v>
      </c>
      <c r="B72" s="10" t="s">
        <v>265</v>
      </c>
      <c r="C72" s="10" t="s">
        <v>263</v>
      </c>
      <c r="D72" s="10" t="s">
        <v>143</v>
      </c>
      <c r="E72" s="10" t="s">
        <v>306</v>
      </c>
    </row>
    <row r="73" spans="1:5">
      <c r="A73" s="10" t="s">
        <v>307</v>
      </c>
      <c r="B73" s="10" t="s">
        <v>265</v>
      </c>
      <c r="C73" s="10" t="s">
        <v>263</v>
      </c>
      <c r="D73" s="10" t="s">
        <v>143</v>
      </c>
      <c r="E73" s="10" t="s">
        <v>306</v>
      </c>
    </row>
    <row r="74" spans="1:5">
      <c r="A74" s="10" t="s">
        <v>308</v>
      </c>
      <c r="B74" s="10" t="s">
        <v>265</v>
      </c>
      <c r="C74" s="10" t="s">
        <v>263</v>
      </c>
      <c r="D74" s="10" t="s">
        <v>143</v>
      </c>
      <c r="E74" s="10" t="s">
        <v>306</v>
      </c>
    </row>
    <row r="75" spans="1:5">
      <c r="A75" s="10" t="s">
        <v>309</v>
      </c>
      <c r="B75" s="10" t="s">
        <v>265</v>
      </c>
      <c r="C75" s="10" t="s">
        <v>263</v>
      </c>
      <c r="D75" s="10" t="s">
        <v>143</v>
      </c>
      <c r="E75" s="10" t="s">
        <v>306</v>
      </c>
    </row>
    <row r="76" spans="1:5">
      <c r="A76" s="10" t="s">
        <v>310</v>
      </c>
      <c r="B76" s="10" t="s">
        <v>265</v>
      </c>
      <c r="C76" s="10" t="s">
        <v>263</v>
      </c>
      <c r="D76" s="10" t="s">
        <v>143</v>
      </c>
      <c r="E76" s="10" t="s">
        <v>306</v>
      </c>
    </row>
    <row r="77" spans="1:5">
      <c r="A77" s="10" t="s">
        <v>311</v>
      </c>
      <c r="B77" s="10" t="s">
        <v>265</v>
      </c>
      <c r="C77" s="10" t="s">
        <v>263</v>
      </c>
      <c r="D77" s="10" t="s">
        <v>143</v>
      </c>
      <c r="E77" s="10" t="s">
        <v>306</v>
      </c>
    </row>
    <row r="78" spans="1:5">
      <c r="A78" s="10" t="s">
        <v>312</v>
      </c>
      <c r="B78" s="10" t="s">
        <v>265</v>
      </c>
      <c r="C78" s="10" t="s">
        <v>263</v>
      </c>
      <c r="D78" s="10" t="s">
        <v>143</v>
      </c>
      <c r="E78" s="10" t="s">
        <v>306</v>
      </c>
    </row>
    <row r="79" spans="1:5">
      <c r="A79" s="10" t="s">
        <v>313</v>
      </c>
      <c r="B79" s="10" t="s">
        <v>265</v>
      </c>
      <c r="C79" s="10" t="s">
        <v>263</v>
      </c>
      <c r="D79" s="10" t="s">
        <v>143</v>
      </c>
      <c r="E79" s="10" t="s">
        <v>281</v>
      </c>
    </row>
    <row r="80" spans="1:5">
      <c r="A80" s="10" t="s">
        <v>314</v>
      </c>
      <c r="B80" s="10" t="s">
        <v>265</v>
      </c>
      <c r="C80" s="10" t="s">
        <v>263</v>
      </c>
      <c r="D80" s="10" t="s">
        <v>143</v>
      </c>
      <c r="E80" s="10" t="s">
        <v>281</v>
      </c>
    </row>
    <row r="81" spans="1:5">
      <c r="A81" s="10" t="s">
        <v>315</v>
      </c>
      <c r="B81" s="10" t="s">
        <v>265</v>
      </c>
      <c r="C81" s="10" t="s">
        <v>263</v>
      </c>
      <c r="D81" s="10" t="s">
        <v>143</v>
      </c>
      <c r="E81" s="10" t="s">
        <v>281</v>
      </c>
    </row>
    <row r="82" spans="1:5">
      <c r="A82" s="10" t="s">
        <v>316</v>
      </c>
      <c r="B82" s="10" t="s">
        <v>265</v>
      </c>
      <c r="C82" s="10" t="s">
        <v>263</v>
      </c>
      <c r="D82" s="10" t="s">
        <v>143</v>
      </c>
      <c r="E82" s="10" t="s">
        <v>281</v>
      </c>
    </row>
    <row r="83" spans="1:5">
      <c r="A83" s="10" t="s">
        <v>317</v>
      </c>
      <c r="B83" s="10" t="s">
        <v>265</v>
      </c>
      <c r="C83" s="10" t="s">
        <v>263</v>
      </c>
      <c r="D83" s="10" t="s">
        <v>143</v>
      </c>
      <c r="E83" s="10" t="s">
        <v>281</v>
      </c>
    </row>
    <row r="84" spans="1:5">
      <c r="A84" s="10" t="s">
        <v>318</v>
      </c>
      <c r="B84" s="10" t="s">
        <v>265</v>
      </c>
      <c r="C84" s="10" t="s">
        <v>263</v>
      </c>
      <c r="D84" s="10" t="s">
        <v>143</v>
      </c>
      <c r="E84" s="10" t="s">
        <v>319</v>
      </c>
    </row>
    <row r="85" spans="1:5">
      <c r="A85" s="10" t="s">
        <v>320</v>
      </c>
      <c r="B85" s="10" t="s">
        <v>265</v>
      </c>
      <c r="C85" s="10" t="s">
        <v>263</v>
      </c>
      <c r="D85" s="10" t="s">
        <v>143</v>
      </c>
      <c r="E85" s="10" t="s">
        <v>319</v>
      </c>
    </row>
    <row r="86" spans="1:5">
      <c r="A86" s="10" t="s">
        <v>264</v>
      </c>
      <c r="B86" s="10" t="s">
        <v>265</v>
      </c>
      <c r="C86" s="10" t="s">
        <v>263</v>
      </c>
      <c r="D86" s="10" t="s">
        <v>143</v>
      </c>
      <c r="E86" s="10" t="s">
        <v>306</v>
      </c>
    </row>
    <row r="87" spans="1:5">
      <c r="A87" s="10" t="s">
        <v>266</v>
      </c>
      <c r="B87" s="10" t="s">
        <v>265</v>
      </c>
      <c r="C87" s="10" t="s">
        <v>263</v>
      </c>
      <c r="D87" s="10" t="s">
        <v>143</v>
      </c>
      <c r="E87" s="10" t="s">
        <v>306</v>
      </c>
    </row>
    <row r="88" spans="1:5">
      <c r="A88" s="10" t="s">
        <v>267</v>
      </c>
      <c r="B88" s="10" t="s">
        <v>268</v>
      </c>
      <c r="C88" s="10" t="s">
        <v>263</v>
      </c>
      <c r="D88" s="10" t="s">
        <v>143</v>
      </c>
      <c r="E88" s="10"/>
    </row>
    <row r="89" spans="1:5" ht="28.5">
      <c r="A89" s="10" t="s">
        <v>269</v>
      </c>
      <c r="B89" s="10" t="s">
        <v>268</v>
      </c>
      <c r="C89" s="10" t="s">
        <v>263</v>
      </c>
      <c r="D89" s="10" t="s">
        <v>143</v>
      </c>
      <c r="E89" s="1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1"/>
  <sheetViews>
    <sheetView topLeftCell="N1" workbookViewId="0">
      <selection activeCell="E31" sqref="E31"/>
    </sheetView>
  </sheetViews>
  <sheetFormatPr defaultColWidth="29.3984375" defaultRowHeight="14.25"/>
  <cols>
    <col min="3" max="3" width="29.3984375" style="8"/>
    <col min="41" max="41" width="29.3984375" style="5"/>
    <col min="60" max="60" width="29.3984375" style="3"/>
    <col min="78" max="78" width="29.3984375" style="5"/>
    <col min="80" max="82" width="29.3984375" style="5"/>
  </cols>
  <sheetData>
    <row r="1" spans="1:101">
      <c r="A1" s="10" t="s">
        <v>76</v>
      </c>
      <c r="B1" s="10" t="s">
        <v>78</v>
      </c>
      <c r="C1" s="11" t="s">
        <v>80</v>
      </c>
      <c r="D1" s="13" t="s">
        <v>199</v>
      </c>
      <c r="E1" s="13" t="s">
        <v>200</v>
      </c>
      <c r="F1" t="s">
        <v>0</v>
      </c>
      <c r="G1" t="s">
        <v>1</v>
      </c>
      <c r="H1" t="s">
        <v>2</v>
      </c>
      <c r="I1" t="s">
        <v>205</v>
      </c>
      <c r="J1" t="s">
        <v>201</v>
      </c>
      <c r="K1" t="s">
        <v>3</v>
      </c>
      <c r="L1" t="s">
        <v>203</v>
      </c>
      <c r="M1" t="s">
        <v>202</v>
      </c>
      <c r="N1" t="s">
        <v>4</v>
      </c>
      <c r="O1" t="s">
        <v>5</v>
      </c>
      <c r="P1" t="s">
        <v>55</v>
      </c>
      <c r="Q1" t="s">
        <v>6</v>
      </c>
      <c r="R1" t="s">
        <v>7</v>
      </c>
      <c r="S1" t="s">
        <v>8</v>
      </c>
      <c r="T1" t="s">
        <v>9</v>
      </c>
      <c r="U1" t="s">
        <v>46</v>
      </c>
      <c r="V1" t="s">
        <v>206</v>
      </c>
      <c r="W1" t="s">
        <v>207</v>
      </c>
      <c r="X1" t="s">
        <v>208</v>
      </c>
      <c r="Y1" t="s">
        <v>209</v>
      </c>
      <c r="Z1" t="s">
        <v>210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s="1" t="s">
        <v>218</v>
      </c>
      <c r="AI1" t="s">
        <v>219</v>
      </c>
      <c r="AJ1" t="s">
        <v>220</v>
      </c>
      <c r="AK1" t="s">
        <v>221</v>
      </c>
      <c r="AL1" t="s">
        <v>222</v>
      </c>
      <c r="AM1" t="s">
        <v>223</v>
      </c>
      <c r="AN1" t="s">
        <v>224</v>
      </c>
      <c r="AO1" s="4" t="s">
        <v>225</v>
      </c>
      <c r="AP1" s="1" t="s">
        <v>226</v>
      </c>
      <c r="AQ1" s="1" t="s">
        <v>227</v>
      </c>
      <c r="AR1" s="1" t="s">
        <v>228</v>
      </c>
      <c r="AS1" s="1" t="s">
        <v>229</v>
      </c>
      <c r="AT1" s="1" t="s">
        <v>230</v>
      </c>
      <c r="AU1" s="1" t="s">
        <v>231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2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10</v>
      </c>
      <c r="BP1" s="1" t="s">
        <v>251</v>
      </c>
      <c r="BQ1" s="1" t="s">
        <v>252</v>
      </c>
      <c r="BR1" s="1" t="s">
        <v>253</v>
      </c>
      <c r="BS1" s="1" t="s">
        <v>254</v>
      </c>
      <c r="BT1" s="1" t="s">
        <v>255</v>
      </c>
      <c r="BU1" s="1" t="s">
        <v>256</v>
      </c>
      <c r="BV1" s="1" t="s">
        <v>257</v>
      </c>
      <c r="BW1" s="1" t="s">
        <v>258</v>
      </c>
      <c r="BX1" s="1" t="s">
        <v>259</v>
      </c>
      <c r="BY1" s="1" t="s">
        <v>260</v>
      </c>
      <c r="BZ1" s="4" t="s">
        <v>11</v>
      </c>
      <c r="CA1" s="1" t="s">
        <v>12</v>
      </c>
      <c r="CB1" s="4" t="s">
        <v>13</v>
      </c>
      <c r="CC1" s="4" t="s">
        <v>14</v>
      </c>
      <c r="CD1" s="4" t="s">
        <v>15</v>
      </c>
      <c r="CE1" s="1" t="s">
        <v>261</v>
      </c>
      <c r="CF1" s="1" t="s">
        <v>16</v>
      </c>
      <c r="CG1" s="1" t="s">
        <v>17</v>
      </c>
      <c r="CH1" s="1" t="s">
        <v>18</v>
      </c>
      <c r="CI1" s="1" t="s">
        <v>19</v>
      </c>
      <c r="CJ1" s="1" t="s">
        <v>20</v>
      </c>
      <c r="CK1" s="1" t="s">
        <v>21</v>
      </c>
      <c r="CL1" s="1" t="s">
        <v>22</v>
      </c>
      <c r="CM1" s="1" t="s">
        <v>47</v>
      </c>
      <c r="CN1" s="1" t="s">
        <v>48</v>
      </c>
      <c r="CO1" s="1" t="s">
        <v>49</v>
      </c>
      <c r="CP1" s="1" t="s">
        <v>50</v>
      </c>
      <c r="CQ1" s="1" t="s">
        <v>51</v>
      </c>
      <c r="CR1" s="1" t="s">
        <v>52</v>
      </c>
      <c r="CS1" s="1" t="s">
        <v>53</v>
      </c>
      <c r="CT1" s="1" t="s">
        <v>23</v>
      </c>
      <c r="CU1" s="1" t="s">
        <v>24</v>
      </c>
      <c r="CV1" s="1" t="s">
        <v>25</v>
      </c>
      <c r="CW1" s="1" t="s">
        <v>54</v>
      </c>
    </row>
    <row r="2" spans="1:101">
      <c r="A2" t="s">
        <v>64</v>
      </c>
      <c r="B2" s="10" t="s">
        <v>148</v>
      </c>
      <c r="C2" s="12">
        <v>45397</v>
      </c>
      <c r="D2">
        <v>31.4</v>
      </c>
      <c r="E2">
        <v>120.216667</v>
      </c>
      <c r="F2">
        <v>0</v>
      </c>
      <c r="G2" t="s">
        <v>26</v>
      </c>
      <c r="H2" t="s">
        <v>44</v>
      </c>
      <c r="I2">
        <v>20.015000000000001</v>
      </c>
      <c r="J2">
        <v>20.015000000000001</v>
      </c>
      <c r="K2">
        <v>759.3</v>
      </c>
      <c r="L2">
        <v>93.7</v>
      </c>
      <c r="M2">
        <v>8.51</v>
      </c>
      <c r="N2">
        <v>402.3</v>
      </c>
      <c r="O2">
        <v>364</v>
      </c>
      <c r="P2">
        <v>9.4499999999999993</v>
      </c>
      <c r="Q2">
        <v>0.4</v>
      </c>
      <c r="R2">
        <v>0.48</v>
      </c>
      <c r="S2">
        <v>2857.4</v>
      </c>
      <c r="T2">
        <v>5.82</v>
      </c>
      <c r="AE2">
        <v>1.4999999999999999E-2</v>
      </c>
      <c r="AF2">
        <v>1E-3</v>
      </c>
      <c r="AG2">
        <v>5.5E-2</v>
      </c>
      <c r="AH2">
        <v>5.6000000000000001E-2</v>
      </c>
      <c r="AI2">
        <v>4.0000000000000001E-3</v>
      </c>
      <c r="AJ2">
        <v>0.26400000000000001</v>
      </c>
      <c r="AK2">
        <v>1.23E-2</v>
      </c>
      <c r="AL2">
        <v>0.46500000000000002</v>
      </c>
      <c r="AM2">
        <v>2.0999999999999999E-3</v>
      </c>
      <c r="AN2">
        <v>0.357197549770291</v>
      </c>
      <c r="AO2" s="5">
        <v>0.60117225850709299</v>
      </c>
      <c r="AP2">
        <v>0.43537796325439398</v>
      </c>
      <c r="AQ2">
        <v>0.13232279142591</v>
      </c>
      <c r="AR2">
        <v>3.0707572311389701E-2</v>
      </c>
      <c r="AS2">
        <v>0</v>
      </c>
      <c r="AT2">
        <v>2.76393151539842E-3</v>
      </c>
      <c r="AU2">
        <v>0</v>
      </c>
      <c r="AV2">
        <v>0</v>
      </c>
      <c r="AW2">
        <v>0</v>
      </c>
      <c r="AX2">
        <v>1.8899446281821799E-2</v>
      </c>
      <c r="AY2">
        <v>0.10478309032091</v>
      </c>
      <c r="AZ2">
        <v>0</v>
      </c>
      <c r="BA2">
        <v>8.6402548231787196E-3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s="3">
        <v>96.769057000000004</v>
      </c>
      <c r="BI2">
        <v>40.744866000000002</v>
      </c>
      <c r="BJ2">
        <v>20.372433000000001</v>
      </c>
      <c r="BK2">
        <v>30.55865</v>
      </c>
      <c r="BL2">
        <v>0</v>
      </c>
      <c r="BM2">
        <v>5.093108</v>
      </c>
      <c r="BN2">
        <v>0</v>
      </c>
      <c r="BO2">
        <v>0</v>
      </c>
      <c r="BP2">
        <v>5.093108</v>
      </c>
      <c r="BQ2">
        <v>5.093108</v>
      </c>
      <c r="BR2">
        <v>0</v>
      </c>
      <c r="BS2">
        <v>30.55865</v>
      </c>
      <c r="BT2">
        <v>0</v>
      </c>
      <c r="BU2">
        <v>5.093108</v>
      </c>
      <c r="BV2">
        <v>0</v>
      </c>
      <c r="BW2">
        <v>0</v>
      </c>
      <c r="BX2">
        <v>0</v>
      </c>
      <c r="BY2">
        <v>0</v>
      </c>
      <c r="BZ2" s="5">
        <v>10</v>
      </c>
      <c r="CA2">
        <v>1.9683630328295001</v>
      </c>
      <c r="CB2" s="5">
        <v>2.0592293620041699</v>
      </c>
      <c r="CC2" s="5">
        <v>0.89431194889156695</v>
      </c>
      <c r="CD2" s="5">
        <v>0.83656509317431504</v>
      </c>
      <c r="CE2">
        <v>3.9121073979384802E-2</v>
      </c>
      <c r="CF2">
        <v>0.42105263049116998</v>
      </c>
      <c r="CG2">
        <v>0.21052631524558499</v>
      </c>
      <c r="CH2">
        <v>0</v>
      </c>
      <c r="CI2">
        <v>0.31578947803531898</v>
      </c>
      <c r="CJ2">
        <v>0</v>
      </c>
      <c r="CK2">
        <v>0</v>
      </c>
      <c r="CL2">
        <v>5.2631576227925803E-2</v>
      </c>
      <c r="CM2">
        <v>5.2631576227925803E-2</v>
      </c>
      <c r="CN2">
        <v>5.2631576227925803E-2</v>
      </c>
      <c r="CO2">
        <v>0.31578947803531898</v>
      </c>
      <c r="CP2">
        <v>0.10526316278973299</v>
      </c>
      <c r="CQ2">
        <v>0</v>
      </c>
      <c r="CR2">
        <v>5.2631576227925803E-2</v>
      </c>
      <c r="CS2">
        <v>0.10526316278973299</v>
      </c>
      <c r="CT2">
        <v>0.31578947803531898</v>
      </c>
      <c r="CU2">
        <v>0.31578947803531898</v>
      </c>
      <c r="CV2">
        <v>30.55865</v>
      </c>
      <c r="CW2">
        <v>30.55865</v>
      </c>
    </row>
    <row r="3" spans="1:101">
      <c r="A3" t="s">
        <v>149</v>
      </c>
      <c r="B3" s="10" t="s">
        <v>148</v>
      </c>
      <c r="C3" s="12">
        <v>45397</v>
      </c>
      <c r="D3">
        <v>31.4</v>
      </c>
      <c r="E3">
        <v>120.216667</v>
      </c>
      <c r="F3">
        <v>0</v>
      </c>
      <c r="G3" t="s">
        <v>28</v>
      </c>
      <c r="H3" t="s">
        <v>42</v>
      </c>
      <c r="I3">
        <v>20.201000000000001</v>
      </c>
      <c r="J3">
        <v>20.201000000000001</v>
      </c>
      <c r="K3">
        <v>759.3</v>
      </c>
      <c r="L3">
        <v>114.3</v>
      </c>
      <c r="M3">
        <v>10.35</v>
      </c>
      <c r="N3">
        <v>402.5</v>
      </c>
      <c r="O3">
        <v>365.6</v>
      </c>
      <c r="P3">
        <v>7.72</v>
      </c>
      <c r="Q3">
        <v>0.95</v>
      </c>
      <c r="R3">
        <v>1.1200000000000001</v>
      </c>
      <c r="S3">
        <v>6778.1</v>
      </c>
      <c r="T3">
        <v>17.77</v>
      </c>
      <c r="AE3">
        <v>2.8000000000000001E-2</v>
      </c>
      <c r="AF3">
        <v>1.6E-2</v>
      </c>
      <c r="AG3">
        <v>0.70099999999999996</v>
      </c>
      <c r="AH3">
        <v>0.71699999999999997</v>
      </c>
      <c r="AI3">
        <v>7.0000000000000001E-3</v>
      </c>
      <c r="AJ3">
        <v>0.95899999999999996</v>
      </c>
      <c r="AK3">
        <v>1.7999999999999999E-2</v>
      </c>
      <c r="AL3">
        <v>2.4275000000000002</v>
      </c>
      <c r="AM3">
        <v>1.0500000000000001E-2</v>
      </c>
      <c r="AN3">
        <v>0.319378369806533</v>
      </c>
      <c r="AO3" s="5">
        <v>0.78992815721009602</v>
      </c>
      <c r="AP3">
        <v>6.3379647005415804E-2</v>
      </c>
      <c r="AQ3">
        <v>0.48403142234099999</v>
      </c>
      <c r="AR3">
        <v>0</v>
      </c>
      <c r="AS3">
        <v>0.24251708786368001</v>
      </c>
      <c r="AT3">
        <v>0</v>
      </c>
      <c r="AU3">
        <v>0</v>
      </c>
      <c r="AV3">
        <v>0</v>
      </c>
      <c r="AW3">
        <v>5.70083479884268E-2</v>
      </c>
      <c r="AX3">
        <v>5.6698338845465199E-2</v>
      </c>
      <c r="AY3">
        <v>0.20956618064182</v>
      </c>
      <c r="AZ3">
        <v>0.24251708786368001</v>
      </c>
      <c r="BA3">
        <v>1.2960382234768E-2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 s="3">
        <v>198.631225</v>
      </c>
      <c r="BI3">
        <v>25.465541999999999</v>
      </c>
      <c r="BJ3">
        <v>162.979467</v>
      </c>
      <c r="BK3">
        <v>0</v>
      </c>
      <c r="BL3">
        <v>10.186216</v>
      </c>
      <c r="BM3">
        <v>0</v>
      </c>
      <c r="BN3">
        <v>0</v>
      </c>
      <c r="BO3">
        <v>0</v>
      </c>
      <c r="BP3">
        <v>10.186216</v>
      </c>
      <c r="BQ3">
        <v>15.279325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81.489733999999999</v>
      </c>
      <c r="BY3">
        <v>0</v>
      </c>
      <c r="BZ3" s="5">
        <v>12</v>
      </c>
      <c r="CA3">
        <v>2.0788252885521401</v>
      </c>
      <c r="CB3" s="5">
        <v>1.9951332103028601</v>
      </c>
      <c r="CC3" s="5">
        <v>0.80290066851126096</v>
      </c>
      <c r="CD3" s="5">
        <v>0.78895463201035498</v>
      </c>
      <c r="CE3">
        <v>4.5890314768295602E-2</v>
      </c>
      <c r="CF3">
        <v>0.12820512988328001</v>
      </c>
      <c r="CG3">
        <v>0.82051282219097199</v>
      </c>
      <c r="CH3">
        <v>5.1282047925747802E-2</v>
      </c>
      <c r="CI3">
        <v>0</v>
      </c>
      <c r="CJ3">
        <v>0</v>
      </c>
      <c r="CK3">
        <v>0</v>
      </c>
      <c r="CL3">
        <v>0</v>
      </c>
      <c r="CM3">
        <v>7.69230769230769E-2</v>
      </c>
      <c r="CN3">
        <v>5.1282047925747802E-2</v>
      </c>
      <c r="CO3">
        <v>0</v>
      </c>
      <c r="CP3">
        <v>7.69230769230769E-2</v>
      </c>
      <c r="CQ3">
        <v>5.1282052960203002E-2</v>
      </c>
      <c r="CR3">
        <v>2.5641023962873901E-2</v>
      </c>
      <c r="CS3">
        <v>7.69230769230769E-2</v>
      </c>
      <c r="CT3">
        <v>0</v>
      </c>
      <c r="CU3">
        <v>0</v>
      </c>
      <c r="CV3">
        <v>0</v>
      </c>
      <c r="CW3">
        <v>0</v>
      </c>
    </row>
    <row r="4" spans="1:101">
      <c r="A4" t="s">
        <v>150</v>
      </c>
      <c r="B4" s="10" t="s">
        <v>148</v>
      </c>
      <c r="C4" s="12">
        <v>45397</v>
      </c>
      <c r="D4">
        <v>31.4</v>
      </c>
      <c r="E4">
        <v>120.216667</v>
      </c>
      <c r="F4">
        <v>0</v>
      </c>
      <c r="G4" t="s">
        <v>29</v>
      </c>
      <c r="H4" t="s">
        <v>43</v>
      </c>
      <c r="I4">
        <v>20.088999999999999</v>
      </c>
      <c r="J4">
        <v>20.088999999999999</v>
      </c>
      <c r="K4">
        <v>759.4</v>
      </c>
      <c r="L4">
        <v>100</v>
      </c>
      <c r="M4">
        <v>9.07</v>
      </c>
      <c r="N4">
        <v>378.1</v>
      </c>
      <c r="O4">
        <v>342.6</v>
      </c>
      <c r="P4">
        <v>8.9499999999999993</v>
      </c>
      <c r="Q4">
        <v>2.2000000000000002</v>
      </c>
      <c r="R4">
        <v>2.59</v>
      </c>
      <c r="S4">
        <v>15805.8</v>
      </c>
      <c r="T4">
        <v>41.9</v>
      </c>
      <c r="AE4">
        <v>1.6E-2</v>
      </c>
      <c r="AF4">
        <v>2E-3</v>
      </c>
      <c r="AG4">
        <v>6.3E-2</v>
      </c>
      <c r="AH4">
        <v>6.5000000000000002E-2</v>
      </c>
      <c r="AI4">
        <v>4.0000000000000001E-3</v>
      </c>
      <c r="AJ4">
        <v>0.36599999999999999</v>
      </c>
      <c r="AK4">
        <v>1.4599999999999998E-2</v>
      </c>
      <c r="AL4">
        <v>0.626</v>
      </c>
      <c r="AM4">
        <v>1.5599999999999999E-2</v>
      </c>
      <c r="AN4">
        <v>0.38531553398058299</v>
      </c>
      <c r="AO4" s="5">
        <v>4.4407376706020996</v>
      </c>
      <c r="AP4">
        <v>0.36518388232654903</v>
      </c>
      <c r="AQ4">
        <v>3.6533066342370701</v>
      </c>
      <c r="AR4">
        <v>0</v>
      </c>
      <c r="AS4">
        <v>0.15751043794335601</v>
      </c>
      <c r="AT4">
        <v>0.264736716095128</v>
      </c>
      <c r="AU4">
        <v>0</v>
      </c>
      <c r="AV4">
        <v>0</v>
      </c>
      <c r="AW4">
        <v>0.142520869971066</v>
      </c>
      <c r="AX4">
        <v>1.8899446281821799E-2</v>
      </c>
      <c r="AY4">
        <v>3.3331583033499901</v>
      </c>
      <c r="AZ4">
        <v>0.15751043794335601</v>
      </c>
      <c r="BA4">
        <v>0</v>
      </c>
      <c r="BB4">
        <v>0</v>
      </c>
      <c r="BC4">
        <v>0</v>
      </c>
      <c r="BD4">
        <v>0</v>
      </c>
      <c r="BE4">
        <v>0</v>
      </c>
      <c r="BF4">
        <v>0.31242769788420399</v>
      </c>
      <c r="BG4">
        <v>0</v>
      </c>
      <c r="BH4" s="3">
        <v>870.92153299999995</v>
      </c>
      <c r="BI4">
        <v>30.558648999999999</v>
      </c>
      <c r="BJ4">
        <v>229.189877</v>
      </c>
      <c r="BK4">
        <v>606.07989899999995</v>
      </c>
      <c r="BL4">
        <v>5.093108</v>
      </c>
      <c r="BM4">
        <v>0</v>
      </c>
      <c r="BN4">
        <v>0</v>
      </c>
      <c r="BO4">
        <v>0</v>
      </c>
      <c r="BP4">
        <v>173.165685</v>
      </c>
      <c r="BQ4">
        <v>5.093108</v>
      </c>
      <c r="BR4">
        <v>0</v>
      </c>
      <c r="BS4">
        <v>494.03151400000002</v>
      </c>
      <c r="BT4">
        <v>0</v>
      </c>
      <c r="BU4">
        <v>0</v>
      </c>
      <c r="BV4">
        <v>0</v>
      </c>
      <c r="BW4">
        <v>0</v>
      </c>
      <c r="BX4">
        <v>0</v>
      </c>
      <c r="BY4">
        <v>40.744866999999999</v>
      </c>
      <c r="BZ4" s="5">
        <v>17</v>
      </c>
      <c r="CA4">
        <v>2.3635242440336701</v>
      </c>
      <c r="CB4" s="5">
        <v>1.62390255955559</v>
      </c>
      <c r="CC4" s="5">
        <v>0.573166352954804</v>
      </c>
      <c r="CD4" s="5">
        <v>0.64477958886803999</v>
      </c>
      <c r="CE4">
        <v>-5.1295887788252802E-2</v>
      </c>
      <c r="CF4">
        <v>3.50877178277322E-2</v>
      </c>
      <c r="CG4">
        <v>0.26315789461597799</v>
      </c>
      <c r="CH4">
        <v>5.8479527799205301E-3</v>
      </c>
      <c r="CI4">
        <v>0.69590643477636904</v>
      </c>
      <c r="CJ4">
        <v>0</v>
      </c>
      <c r="CK4">
        <v>0</v>
      </c>
      <c r="CL4">
        <v>0</v>
      </c>
      <c r="CM4">
        <v>5.8479527799205301E-3</v>
      </c>
      <c r="CN4">
        <v>0.198830409444016</v>
      </c>
      <c r="CO4">
        <v>0.56725146328423603</v>
      </c>
      <c r="CP4">
        <v>0</v>
      </c>
      <c r="CQ4">
        <v>0</v>
      </c>
      <c r="CR4">
        <v>0.15789473653994501</v>
      </c>
      <c r="CS4">
        <v>0</v>
      </c>
      <c r="CT4">
        <v>0.56725146328423603</v>
      </c>
      <c r="CU4">
        <v>0.61403508896822701</v>
      </c>
      <c r="CV4">
        <v>494.03151400000002</v>
      </c>
      <c r="CW4">
        <v>534.77638100000001</v>
      </c>
    </row>
    <row r="5" spans="1:101">
      <c r="A5" t="s">
        <v>151</v>
      </c>
      <c r="B5" s="10" t="s">
        <v>148</v>
      </c>
      <c r="C5" s="12">
        <v>45397</v>
      </c>
      <c r="D5">
        <v>31.4</v>
      </c>
      <c r="E5">
        <v>120.216667</v>
      </c>
      <c r="F5">
        <v>0</v>
      </c>
      <c r="G5" t="s">
        <v>31</v>
      </c>
      <c r="H5" t="s">
        <v>43</v>
      </c>
      <c r="I5">
        <v>19.908999999999999</v>
      </c>
      <c r="J5">
        <v>19.908999999999999</v>
      </c>
      <c r="K5">
        <v>759.3</v>
      </c>
      <c r="L5">
        <v>100.8</v>
      </c>
      <c r="M5">
        <v>9.17</v>
      </c>
      <c r="N5">
        <v>395.6</v>
      </c>
      <c r="O5">
        <v>357.1</v>
      </c>
      <c r="P5">
        <v>11.49</v>
      </c>
      <c r="Q5">
        <v>1.78</v>
      </c>
      <c r="R5">
        <v>2.1</v>
      </c>
      <c r="S5">
        <v>12777</v>
      </c>
      <c r="T5">
        <v>51.85</v>
      </c>
      <c r="AE5">
        <v>1.6E-2</v>
      </c>
      <c r="AF5">
        <v>1E-3</v>
      </c>
      <c r="AG5">
        <v>0.08</v>
      </c>
      <c r="AH5">
        <v>8.1000000000000003E-2</v>
      </c>
      <c r="AI5">
        <v>8.9999999999999993E-3</v>
      </c>
      <c r="AJ5">
        <v>0.29899999999999999</v>
      </c>
      <c r="AK5">
        <v>1.23E-2</v>
      </c>
      <c r="AL5">
        <v>0.4541</v>
      </c>
      <c r="AM5">
        <v>6.7000000000000002E-3</v>
      </c>
      <c r="AN5">
        <v>0.32609214609692</v>
      </c>
      <c r="AO5" s="5">
        <v>5.3999317512709304</v>
      </c>
      <c r="AP5">
        <v>6.0194268776919697E-2</v>
      </c>
      <c r="AQ5">
        <v>5.3397374824940096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0.12006354098042001</v>
      </c>
      <c r="AY5">
        <v>5.1273512186807402</v>
      </c>
      <c r="AZ5">
        <v>0</v>
      </c>
      <c r="BA5">
        <v>1.72805096463573E-2</v>
      </c>
      <c r="BB5">
        <v>0</v>
      </c>
      <c r="BC5">
        <v>4.7518339375836501E-2</v>
      </c>
      <c r="BD5">
        <v>0</v>
      </c>
      <c r="BE5">
        <v>0</v>
      </c>
      <c r="BF5">
        <v>0</v>
      </c>
      <c r="BG5">
        <v>0</v>
      </c>
      <c r="BH5" s="3">
        <v>351.42447900000002</v>
      </c>
      <c r="BI5">
        <v>10.186216</v>
      </c>
      <c r="BJ5">
        <v>341.23826300000002</v>
      </c>
      <c r="BK5">
        <v>0</v>
      </c>
      <c r="BL5">
        <v>0</v>
      </c>
      <c r="BM5">
        <v>0</v>
      </c>
      <c r="BN5">
        <v>0</v>
      </c>
      <c r="BO5">
        <v>0</v>
      </c>
      <c r="BP5">
        <v>269.93474500000002</v>
      </c>
      <c r="BQ5">
        <v>40.744866999999999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 s="5">
        <v>8</v>
      </c>
      <c r="CA5">
        <v>1.1941327478806101</v>
      </c>
      <c r="CB5" s="5">
        <v>1.33602182261278</v>
      </c>
      <c r="CC5" s="5">
        <v>0.64249068600096404</v>
      </c>
      <c r="CD5" s="5">
        <v>0.61541692818375704</v>
      </c>
      <c r="CE5">
        <v>-5.1295887788252802E-2</v>
      </c>
      <c r="CF5">
        <v>2.8985505019415599E-2</v>
      </c>
      <c r="CG5">
        <v>0.97101449498058401</v>
      </c>
      <c r="CH5">
        <v>0</v>
      </c>
      <c r="CI5">
        <v>0</v>
      </c>
      <c r="CJ5">
        <v>0</v>
      </c>
      <c r="CK5">
        <v>0</v>
      </c>
      <c r="CL5">
        <v>0</v>
      </c>
      <c r="CM5">
        <v>0.11594202861434701</v>
      </c>
      <c r="CN5">
        <v>0.76811594277130602</v>
      </c>
      <c r="CO5">
        <v>0</v>
      </c>
      <c r="CP5">
        <v>5.7971015729954299E-2</v>
      </c>
      <c r="CQ5">
        <v>0</v>
      </c>
      <c r="CR5">
        <v>0.57971014591729697</v>
      </c>
      <c r="CS5">
        <v>5.7971015729954299E-2</v>
      </c>
      <c r="CT5">
        <v>0</v>
      </c>
      <c r="CU5">
        <v>0</v>
      </c>
      <c r="CV5">
        <v>0</v>
      </c>
      <c r="CW5">
        <v>0</v>
      </c>
    </row>
    <row r="6" spans="1:101">
      <c r="A6" t="s">
        <v>152</v>
      </c>
      <c r="B6" s="10" t="s">
        <v>148</v>
      </c>
      <c r="C6" s="12">
        <v>45397</v>
      </c>
      <c r="D6">
        <v>31.4</v>
      </c>
      <c r="E6">
        <v>120.216667</v>
      </c>
      <c r="F6">
        <v>0</v>
      </c>
      <c r="G6" t="s">
        <v>32</v>
      </c>
      <c r="H6" t="s">
        <v>39</v>
      </c>
      <c r="I6">
        <v>20.731000000000002</v>
      </c>
      <c r="J6">
        <v>20.731000000000002</v>
      </c>
      <c r="K6">
        <v>759.3</v>
      </c>
      <c r="L6">
        <v>108.5</v>
      </c>
      <c r="M6">
        <v>9.7100000000000009</v>
      </c>
      <c r="N6">
        <v>391.3</v>
      </c>
      <c r="O6">
        <v>359.4</v>
      </c>
      <c r="P6">
        <v>4.4400000000000004</v>
      </c>
      <c r="Q6">
        <v>4.0999999999999996</v>
      </c>
      <c r="R6">
        <v>4.8099999999999996</v>
      </c>
      <c r="S6">
        <v>29408.2</v>
      </c>
      <c r="T6">
        <v>97.23</v>
      </c>
      <c r="AE6">
        <v>2.5000000000000001E-2</v>
      </c>
      <c r="AF6">
        <v>2.5000000000000001E-2</v>
      </c>
      <c r="AG6">
        <v>1.0920000000000001</v>
      </c>
      <c r="AH6">
        <v>1.117</v>
      </c>
      <c r="AI6">
        <v>8.9999999999999993E-3</v>
      </c>
      <c r="AJ6">
        <v>1.5309999999999999</v>
      </c>
      <c r="AK6">
        <v>2.3599999999999999E-2</v>
      </c>
      <c r="AL6">
        <v>2.0510000000000002</v>
      </c>
      <c r="AM6">
        <v>1.3299999999999999E-2</v>
      </c>
      <c r="AN6">
        <v>0.47745415318230899</v>
      </c>
      <c r="AO6" s="5">
        <v>7.1127419257146904</v>
      </c>
      <c r="AP6">
        <v>0.28107199588020498</v>
      </c>
      <c r="AQ6">
        <v>6.8306599000461299</v>
      </c>
      <c r="AR6">
        <v>0</v>
      </c>
      <c r="AS6">
        <v>0</v>
      </c>
      <c r="AT6">
        <v>1.0100297883577E-3</v>
      </c>
      <c r="AU6">
        <v>0</v>
      </c>
      <c r="AV6">
        <v>0</v>
      </c>
      <c r="AW6">
        <v>0.23119348515292501</v>
      </c>
      <c r="AX6">
        <v>0.16119586518880899</v>
      </c>
      <c r="AY6">
        <v>5.1665123736431999</v>
      </c>
      <c r="AZ6">
        <v>0</v>
      </c>
      <c r="BA6">
        <v>4.24612522907599E-2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 s="3">
        <v>1222.3460130000001</v>
      </c>
      <c r="BI6">
        <v>35.651758000000001</v>
      </c>
      <c r="BJ6">
        <v>1181.6011470000001</v>
      </c>
      <c r="BK6">
        <v>5.093108</v>
      </c>
      <c r="BL6">
        <v>0</v>
      </c>
      <c r="BM6">
        <v>0</v>
      </c>
      <c r="BN6">
        <v>0</v>
      </c>
      <c r="BO6">
        <v>0</v>
      </c>
      <c r="BP6">
        <v>269.93474400000002</v>
      </c>
      <c r="BQ6">
        <v>56.024191999999999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448.19353799999999</v>
      </c>
      <c r="BY6">
        <v>0</v>
      </c>
      <c r="BZ6" s="5">
        <v>24</v>
      </c>
      <c r="CA6">
        <v>3.2355506538054799</v>
      </c>
      <c r="CB6" s="5">
        <v>2.3581694135288398</v>
      </c>
      <c r="CC6" s="5">
        <v>0.74201682520609302</v>
      </c>
      <c r="CD6" s="5">
        <v>0.82371527786418897</v>
      </c>
      <c r="CE6">
        <v>1.06737260418932E-2</v>
      </c>
      <c r="CF6">
        <v>2.9166666083771199E-2</v>
      </c>
      <c r="CG6">
        <v>0.96666666756657504</v>
      </c>
      <c r="CH6">
        <v>0</v>
      </c>
      <c r="CI6">
        <v>4.1666663496533196E-3</v>
      </c>
      <c r="CJ6">
        <v>0</v>
      </c>
      <c r="CK6">
        <v>0</v>
      </c>
      <c r="CL6">
        <v>0</v>
      </c>
      <c r="CM6">
        <v>4.5833333118582398E-2</v>
      </c>
      <c r="CN6">
        <v>0.22083333289360499</v>
      </c>
      <c r="CO6">
        <v>0</v>
      </c>
      <c r="CP6">
        <v>4.1666666768929002E-2</v>
      </c>
      <c r="CQ6">
        <v>5.0000000286334598E-2</v>
      </c>
      <c r="CR6">
        <v>0.16249999990796399</v>
      </c>
      <c r="CS6">
        <v>2.91666669018701E-2</v>
      </c>
      <c r="CT6">
        <v>0</v>
      </c>
      <c r="CU6">
        <v>0</v>
      </c>
      <c r="CV6">
        <v>0</v>
      </c>
      <c r="CW6">
        <v>0</v>
      </c>
    </row>
    <row r="7" spans="1:101">
      <c r="A7" t="s">
        <v>153</v>
      </c>
      <c r="B7" s="10" t="s">
        <v>148</v>
      </c>
      <c r="C7" s="12">
        <v>45397</v>
      </c>
      <c r="D7">
        <v>31.4</v>
      </c>
      <c r="E7">
        <v>120.216667</v>
      </c>
      <c r="F7">
        <v>0</v>
      </c>
      <c r="G7" t="s">
        <v>33</v>
      </c>
      <c r="H7" t="s">
        <v>45</v>
      </c>
      <c r="I7">
        <v>20.84</v>
      </c>
      <c r="J7">
        <v>20.84</v>
      </c>
      <c r="K7">
        <v>759.4</v>
      </c>
      <c r="L7">
        <v>104.6</v>
      </c>
      <c r="M7">
        <v>9.35</v>
      </c>
      <c r="N7">
        <v>385.1</v>
      </c>
      <c r="O7">
        <v>354.5</v>
      </c>
      <c r="P7">
        <v>4.8600000000000003</v>
      </c>
      <c r="Q7">
        <v>0.53</v>
      </c>
      <c r="R7">
        <v>0.63</v>
      </c>
      <c r="S7">
        <v>3774.7</v>
      </c>
      <c r="T7">
        <v>5.96</v>
      </c>
      <c r="AE7">
        <v>2.5999999999999999E-2</v>
      </c>
      <c r="AF7">
        <v>2.9000000000000001E-2</v>
      </c>
      <c r="AG7">
        <v>0.81200000000000006</v>
      </c>
      <c r="AH7">
        <v>0.84100000000000008</v>
      </c>
      <c r="AI7">
        <v>8.9999999999999993E-3</v>
      </c>
      <c r="AJ7">
        <v>1.19</v>
      </c>
      <c r="AK7">
        <v>1.5699999999999999E-2</v>
      </c>
      <c r="AL7">
        <v>1.8342000000000001</v>
      </c>
      <c r="AM7">
        <v>2.4E-2</v>
      </c>
      <c r="AN7">
        <v>0.354151880766501</v>
      </c>
      <c r="AO7" s="5">
        <v>0.55655565528267203</v>
      </c>
      <c r="AP7">
        <v>5.3638919836596199E-3</v>
      </c>
      <c r="AQ7">
        <v>0.52768106990862695</v>
      </c>
      <c r="AR7">
        <v>0</v>
      </c>
      <c r="AS7">
        <v>0</v>
      </c>
      <c r="AT7">
        <v>2.3510693390385601E-2</v>
      </c>
      <c r="AU7">
        <v>0</v>
      </c>
      <c r="AV7">
        <v>0</v>
      </c>
      <c r="AW7">
        <v>0.11717678917607199</v>
      </c>
      <c r="AX7">
        <v>0</v>
      </c>
      <c r="AY7">
        <v>0.20956618064182</v>
      </c>
      <c r="AZ7">
        <v>0</v>
      </c>
      <c r="BA7">
        <v>1.72805096463573E-2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 s="3">
        <v>224.09676899999999</v>
      </c>
      <c r="BI7">
        <v>5.093108</v>
      </c>
      <c r="BJ7">
        <v>203.72433599999999</v>
      </c>
      <c r="BK7">
        <v>15.279325</v>
      </c>
      <c r="BL7">
        <v>0</v>
      </c>
      <c r="BM7">
        <v>0</v>
      </c>
      <c r="BN7">
        <v>0</v>
      </c>
      <c r="BO7">
        <v>0</v>
      </c>
      <c r="BP7">
        <v>10.186216999999999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162.979468</v>
      </c>
      <c r="BY7">
        <v>0</v>
      </c>
      <c r="BZ7" s="5">
        <v>7</v>
      </c>
      <c r="CA7">
        <v>1.10863147962457</v>
      </c>
      <c r="CB7" s="5">
        <v>1.0431076024068999</v>
      </c>
      <c r="CC7" s="5">
        <v>0.53605126779019197</v>
      </c>
      <c r="CD7" s="5">
        <v>0.45557851426830298</v>
      </c>
      <c r="CE7">
        <v>1.06737260418932E-2</v>
      </c>
      <c r="CF7">
        <v>2.2727271003179901E-2</v>
      </c>
      <c r="CG7">
        <v>0.90909091152492205</v>
      </c>
      <c r="CH7">
        <v>0</v>
      </c>
      <c r="CI7">
        <v>6.8181817471897596E-2</v>
      </c>
      <c r="CJ7">
        <v>0</v>
      </c>
      <c r="CK7">
        <v>0</v>
      </c>
      <c r="CL7">
        <v>0</v>
      </c>
      <c r="CM7">
        <v>0</v>
      </c>
      <c r="CN7">
        <v>4.5454546468717702E-2</v>
      </c>
      <c r="CO7">
        <v>0</v>
      </c>
      <c r="CP7">
        <v>9.0909092937435404E-2</v>
      </c>
      <c r="CQ7">
        <v>0</v>
      </c>
      <c r="CR7">
        <v>4.5454546468717702E-2</v>
      </c>
      <c r="CS7">
        <v>9.0909092937435404E-2</v>
      </c>
      <c r="CT7">
        <v>0</v>
      </c>
      <c r="CU7">
        <v>0</v>
      </c>
      <c r="CV7">
        <v>0</v>
      </c>
      <c r="CW7">
        <v>0</v>
      </c>
    </row>
    <row r="8" spans="1:101">
      <c r="A8" t="s">
        <v>154</v>
      </c>
      <c r="B8" s="10" t="s">
        <v>148</v>
      </c>
      <c r="C8" s="12">
        <v>45397</v>
      </c>
      <c r="D8">
        <v>31.4</v>
      </c>
      <c r="E8">
        <v>120.216667</v>
      </c>
      <c r="F8">
        <v>0</v>
      </c>
      <c r="G8" t="s">
        <v>34</v>
      </c>
      <c r="H8" t="s">
        <v>40</v>
      </c>
      <c r="I8">
        <v>19.936</v>
      </c>
      <c r="J8">
        <v>19.936</v>
      </c>
      <c r="K8">
        <v>759.3</v>
      </c>
      <c r="L8">
        <v>104.2</v>
      </c>
      <c r="M8">
        <v>9.4700000000000006</v>
      </c>
      <c r="N8">
        <v>400.1</v>
      </c>
      <c r="O8">
        <v>361.4</v>
      </c>
      <c r="P8">
        <v>6.82</v>
      </c>
      <c r="Q8">
        <v>6.19</v>
      </c>
      <c r="R8">
        <v>7.25</v>
      </c>
      <c r="S8">
        <v>44398.9</v>
      </c>
      <c r="T8">
        <v>156.34</v>
      </c>
      <c r="AE8">
        <v>1.7999999999999999E-2</v>
      </c>
      <c r="AF8">
        <v>0.03</v>
      </c>
      <c r="AG8">
        <v>0.85499999999999998</v>
      </c>
      <c r="AH8">
        <v>0.88500000000000001</v>
      </c>
      <c r="AI8">
        <v>1.0999999999999999E-2</v>
      </c>
      <c r="AJ8">
        <v>1.2529999999999999</v>
      </c>
      <c r="AK8">
        <v>2.2499999999999999E-2</v>
      </c>
      <c r="AL8">
        <v>2.4632999999999998</v>
      </c>
      <c r="AM8">
        <v>2.0299999999999999E-2</v>
      </c>
      <c r="AN8">
        <v>0.43763858093126401</v>
      </c>
      <c r="AO8" s="5">
        <v>10.0115650409863</v>
      </c>
      <c r="AP8">
        <v>0</v>
      </c>
      <c r="AQ8">
        <v>9.3480572669202804</v>
      </c>
      <c r="AR8">
        <v>0</v>
      </c>
      <c r="AS8">
        <v>0.63004175177342403</v>
      </c>
      <c r="AT8">
        <v>3.3466022292574699E-2</v>
      </c>
      <c r="AU8">
        <v>0</v>
      </c>
      <c r="AV8">
        <v>0</v>
      </c>
      <c r="AW8">
        <v>5.70083479884268E-2</v>
      </c>
      <c r="AX8">
        <v>3.7798892563643702E-2</v>
      </c>
      <c r="AY8">
        <v>9.0168259292222004</v>
      </c>
      <c r="AZ8">
        <v>0.63004175177342403</v>
      </c>
      <c r="BA8">
        <v>4.6781379702349302E-2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 s="3">
        <v>906.57329400000003</v>
      </c>
      <c r="BI8">
        <v>0</v>
      </c>
      <c r="BJ8">
        <v>595.89368200000001</v>
      </c>
      <c r="BK8">
        <v>290.30717800000002</v>
      </c>
      <c r="BL8">
        <v>20.372433999999998</v>
      </c>
      <c r="BM8">
        <v>0</v>
      </c>
      <c r="BN8">
        <v>0</v>
      </c>
      <c r="BO8">
        <v>0</v>
      </c>
      <c r="BP8">
        <v>473.65908000000002</v>
      </c>
      <c r="BQ8">
        <v>10.186216999999999</v>
      </c>
      <c r="BR8">
        <v>0</v>
      </c>
      <c r="BS8">
        <v>0</v>
      </c>
      <c r="BT8">
        <v>0</v>
      </c>
      <c r="BU8">
        <v>0</v>
      </c>
      <c r="BV8">
        <v>0</v>
      </c>
      <c r="BW8">
        <v>290.30717800000002</v>
      </c>
      <c r="BX8">
        <v>0</v>
      </c>
      <c r="BY8">
        <v>0</v>
      </c>
      <c r="BZ8" s="5">
        <v>14</v>
      </c>
      <c r="CA8">
        <v>1.9090493973329901</v>
      </c>
      <c r="CB8" s="5">
        <v>1.6705834183811401</v>
      </c>
      <c r="CC8" s="5">
        <v>0.63302278417145796</v>
      </c>
      <c r="CD8" s="5">
        <v>0.72396162122357499</v>
      </c>
      <c r="CE8">
        <v>-0.16601504498591901</v>
      </c>
      <c r="CF8">
        <v>0</v>
      </c>
      <c r="CG8">
        <v>0.65730337077412304</v>
      </c>
      <c r="CH8">
        <v>2.2471910583326801E-2</v>
      </c>
      <c r="CI8">
        <v>0.32022471864254998</v>
      </c>
      <c r="CJ8">
        <v>0</v>
      </c>
      <c r="CK8">
        <v>0</v>
      </c>
      <c r="CL8">
        <v>0</v>
      </c>
      <c r="CM8">
        <v>1.1235955291663401E-2</v>
      </c>
      <c r="CN8">
        <v>0.522471909480272</v>
      </c>
      <c r="CO8">
        <v>0</v>
      </c>
      <c r="CP8">
        <v>6.1797752449566402E-2</v>
      </c>
      <c r="CQ8">
        <v>1.1235955291663401E-2</v>
      </c>
      <c r="CR8">
        <v>0.39887640458113899</v>
      </c>
      <c r="CS8">
        <v>4.4943820063598698E-2</v>
      </c>
      <c r="CT8">
        <v>0.32022471864254998</v>
      </c>
      <c r="CU8">
        <v>0.32022471864254998</v>
      </c>
      <c r="CV8">
        <v>290.30717800000002</v>
      </c>
      <c r="CW8">
        <v>290.30717800000002</v>
      </c>
    </row>
    <row r="9" spans="1:101">
      <c r="A9" t="s">
        <v>155</v>
      </c>
      <c r="B9" s="10" t="s">
        <v>148</v>
      </c>
      <c r="C9" s="12">
        <v>45397</v>
      </c>
      <c r="D9">
        <v>31.4</v>
      </c>
      <c r="E9">
        <v>120.216667</v>
      </c>
      <c r="F9">
        <v>0</v>
      </c>
      <c r="G9" t="s">
        <v>35</v>
      </c>
      <c r="H9" t="s">
        <v>40</v>
      </c>
      <c r="I9">
        <v>19.948</v>
      </c>
      <c r="J9">
        <v>19.948</v>
      </c>
      <c r="K9">
        <v>759.4</v>
      </c>
      <c r="L9">
        <v>105.6</v>
      </c>
      <c r="M9">
        <v>9.6</v>
      </c>
      <c r="N9">
        <v>405.1</v>
      </c>
      <c r="O9">
        <v>366</v>
      </c>
      <c r="P9">
        <v>7.68</v>
      </c>
      <c r="Q9">
        <v>5.16</v>
      </c>
      <c r="R9">
        <v>6.05</v>
      </c>
      <c r="S9">
        <v>36984.9</v>
      </c>
      <c r="T9">
        <v>171.78</v>
      </c>
      <c r="AE9">
        <v>1.7999999999999999E-2</v>
      </c>
      <c r="AF9">
        <v>2.8000000000000001E-2</v>
      </c>
      <c r="AG9">
        <v>1.2070000000000001</v>
      </c>
      <c r="AH9">
        <v>1.2350000000000001</v>
      </c>
      <c r="AI9">
        <v>1.2E-2</v>
      </c>
      <c r="AJ9">
        <v>1.5549999999999999</v>
      </c>
      <c r="AK9">
        <v>1.5699999999999999E-2</v>
      </c>
      <c r="AL9">
        <v>2.7591000000000001</v>
      </c>
      <c r="AM9">
        <v>2.35E-2</v>
      </c>
      <c r="AN9">
        <v>0.41116898148148101</v>
      </c>
      <c r="AO9" s="5">
        <v>8.4694182463460308</v>
      </c>
      <c r="AP9">
        <v>1.26759294010832E-2</v>
      </c>
      <c r="AQ9">
        <v>8.4178611702406396</v>
      </c>
      <c r="AR9">
        <v>0</v>
      </c>
      <c r="AS9">
        <v>0</v>
      </c>
      <c r="AT9">
        <v>3.8881146704304197E-2</v>
      </c>
      <c r="AU9">
        <v>0</v>
      </c>
      <c r="AV9">
        <v>0</v>
      </c>
      <c r="AW9">
        <v>8.5512521982639603E-2</v>
      </c>
      <c r="AX9">
        <v>5.6698338845465199E-2</v>
      </c>
      <c r="AY9">
        <v>7.9561146461378103</v>
      </c>
      <c r="AZ9">
        <v>0</v>
      </c>
      <c r="BA9">
        <v>4.3201274115893399E-3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 s="3">
        <v>606.07989899999995</v>
      </c>
      <c r="BI9">
        <v>5.093108</v>
      </c>
      <c r="BJ9">
        <v>590.80057399999998</v>
      </c>
      <c r="BK9">
        <v>10.186216999999999</v>
      </c>
      <c r="BL9">
        <v>0</v>
      </c>
      <c r="BM9">
        <v>0</v>
      </c>
      <c r="BN9">
        <v>0</v>
      </c>
      <c r="BO9">
        <v>0</v>
      </c>
      <c r="BP9">
        <v>412.54178000000002</v>
      </c>
      <c r="BQ9">
        <v>15.279325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40.744866999999999</v>
      </c>
      <c r="BY9">
        <v>0</v>
      </c>
      <c r="BZ9" s="5">
        <v>14</v>
      </c>
      <c r="CA9">
        <v>2.02902700311554</v>
      </c>
      <c r="CB9" s="5">
        <v>1.87832213103417</v>
      </c>
      <c r="CC9" s="5">
        <v>0.71173979813011901</v>
      </c>
      <c r="CD9" s="5">
        <v>0.72579620118328103</v>
      </c>
      <c r="CE9">
        <v>-0.16601504498591901</v>
      </c>
      <c r="CF9">
        <v>8.4033606928778908E-3</v>
      </c>
      <c r="CG9">
        <v>0.97478991627141898</v>
      </c>
      <c r="CH9">
        <v>0</v>
      </c>
      <c r="CI9">
        <v>1.68067230357032E-2</v>
      </c>
      <c r="CJ9">
        <v>0</v>
      </c>
      <c r="CK9">
        <v>0</v>
      </c>
      <c r="CL9">
        <v>0</v>
      </c>
      <c r="CM9">
        <v>2.5210083728581099E-2</v>
      </c>
      <c r="CN9">
        <v>0.68067226892142796</v>
      </c>
      <c r="CO9">
        <v>0</v>
      </c>
      <c r="CP9">
        <v>8.4033606928778908E-3</v>
      </c>
      <c r="CQ9">
        <v>6.7226892142812994E-2</v>
      </c>
      <c r="CR9">
        <v>0.49579831882858699</v>
      </c>
      <c r="CS9">
        <v>8.4033606928778908E-3</v>
      </c>
      <c r="CT9">
        <v>0</v>
      </c>
      <c r="CU9">
        <v>0</v>
      </c>
      <c r="CV9">
        <v>0</v>
      </c>
      <c r="CW9">
        <v>0</v>
      </c>
    </row>
    <row r="10" spans="1:101">
      <c r="A10" t="s">
        <v>156</v>
      </c>
      <c r="B10" s="10" t="s">
        <v>148</v>
      </c>
      <c r="C10" s="12">
        <v>45397</v>
      </c>
      <c r="D10">
        <v>31.4</v>
      </c>
      <c r="E10">
        <v>120.216667</v>
      </c>
      <c r="F10">
        <v>0</v>
      </c>
      <c r="G10" t="s">
        <v>36</v>
      </c>
      <c r="H10" t="s">
        <v>41</v>
      </c>
      <c r="I10">
        <v>20.574999999999999</v>
      </c>
      <c r="J10">
        <v>20.574999999999999</v>
      </c>
      <c r="K10">
        <v>759.3</v>
      </c>
      <c r="L10">
        <v>105.7</v>
      </c>
      <c r="M10">
        <v>9.5</v>
      </c>
      <c r="N10">
        <v>377.1</v>
      </c>
      <c r="O10">
        <v>345.2</v>
      </c>
      <c r="P10">
        <v>6.07</v>
      </c>
      <c r="Q10">
        <v>1.65</v>
      </c>
      <c r="R10">
        <v>1.95</v>
      </c>
      <c r="S10">
        <v>11852.7</v>
      </c>
      <c r="T10">
        <v>37.909999999999997</v>
      </c>
      <c r="AE10">
        <v>2.3E-2</v>
      </c>
      <c r="AF10">
        <v>1.7999999999999999E-2</v>
      </c>
      <c r="AG10">
        <v>0.89200000000000002</v>
      </c>
      <c r="AH10">
        <v>0.91</v>
      </c>
      <c r="AI10">
        <v>7.0000000000000001E-3</v>
      </c>
      <c r="AJ10">
        <v>1.2170000000000001</v>
      </c>
      <c r="AK10">
        <v>2.3599999999999999E-2</v>
      </c>
      <c r="AL10">
        <v>2.6436999999999999</v>
      </c>
      <c r="AM10">
        <v>1.5100000000000001E-2</v>
      </c>
      <c r="AN10">
        <v>0.48879276445143499</v>
      </c>
      <c r="AO10" s="5">
        <v>4.0890977705049698</v>
      </c>
      <c r="AP10">
        <v>1.26759294010832E-2</v>
      </c>
      <c r="AQ10">
        <v>3.8339047532402</v>
      </c>
      <c r="AR10">
        <v>0</v>
      </c>
      <c r="AS10">
        <v>0.24251708786368001</v>
      </c>
      <c r="AT10">
        <v>0</v>
      </c>
      <c r="AU10">
        <v>0</v>
      </c>
      <c r="AV10">
        <v>0</v>
      </c>
      <c r="AW10">
        <v>0.114016695976853</v>
      </c>
      <c r="AX10">
        <v>6.8519798601612295E-2</v>
      </c>
      <c r="AY10">
        <v>2.5996766711036101</v>
      </c>
      <c r="AZ10">
        <v>0.24251708786368001</v>
      </c>
      <c r="BA10">
        <v>8.2082420820197399E-2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 s="3">
        <v>458.37975399999999</v>
      </c>
      <c r="BI10">
        <v>5.093108</v>
      </c>
      <c r="BJ10">
        <v>443.10043000000002</v>
      </c>
      <c r="BK10">
        <v>0</v>
      </c>
      <c r="BL10">
        <v>10.186216</v>
      </c>
      <c r="BM10">
        <v>0</v>
      </c>
      <c r="BN10">
        <v>0</v>
      </c>
      <c r="BO10">
        <v>0</v>
      </c>
      <c r="BP10">
        <v>137.513927</v>
      </c>
      <c r="BQ10">
        <v>15.279325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 s="5">
        <v>15</v>
      </c>
      <c r="CA10">
        <v>2.28470789603554</v>
      </c>
      <c r="CB10" s="5">
        <v>2.24754106200509</v>
      </c>
      <c r="CC10" s="5">
        <v>0.82994807891312905</v>
      </c>
      <c r="CD10" s="5">
        <v>0.86296296283368301</v>
      </c>
      <c r="CE10">
        <v>3.8576153590416402E-3</v>
      </c>
      <c r="CF10">
        <v>1.11111102869522E-2</v>
      </c>
      <c r="CG10">
        <v>0.96666666913914301</v>
      </c>
      <c r="CH10">
        <v>2.22222205739043E-2</v>
      </c>
      <c r="CI10">
        <v>0</v>
      </c>
      <c r="CJ10">
        <v>0</v>
      </c>
      <c r="CK10">
        <v>0</v>
      </c>
      <c r="CL10">
        <v>0</v>
      </c>
      <c r="CM10">
        <v>3.33333330424537E-2</v>
      </c>
      <c r="CN10">
        <v>0.30000000174527802</v>
      </c>
      <c r="CO10">
        <v>0</v>
      </c>
      <c r="CP10">
        <v>0.21111111072327199</v>
      </c>
      <c r="CQ10">
        <v>6.66666660849074E-2</v>
      </c>
      <c r="CR10">
        <v>0.20000000043631899</v>
      </c>
      <c r="CS10">
        <v>0.21111111072327199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157</v>
      </c>
      <c r="B11" s="10" t="s">
        <v>148</v>
      </c>
      <c r="C11" s="12">
        <v>45397</v>
      </c>
      <c r="D11">
        <v>31.4</v>
      </c>
      <c r="E11">
        <v>120.216667</v>
      </c>
      <c r="F11">
        <v>0</v>
      </c>
      <c r="G11" t="s">
        <v>37</v>
      </c>
      <c r="H11" t="s">
        <v>41</v>
      </c>
      <c r="I11">
        <v>20.666</v>
      </c>
      <c r="J11">
        <v>20.666</v>
      </c>
      <c r="K11">
        <v>759.3</v>
      </c>
      <c r="L11">
        <v>97.5</v>
      </c>
      <c r="M11">
        <v>8.74</v>
      </c>
      <c r="N11">
        <v>394.5</v>
      </c>
      <c r="O11">
        <v>361.8</v>
      </c>
      <c r="P11">
        <v>14.51</v>
      </c>
      <c r="Q11">
        <v>1.57</v>
      </c>
      <c r="R11">
        <v>1.85</v>
      </c>
      <c r="S11">
        <v>11259.5</v>
      </c>
      <c r="T11">
        <v>23.04</v>
      </c>
      <c r="AE11">
        <v>2.1000000000000001E-2</v>
      </c>
      <c r="AF11">
        <v>1.4E-2</v>
      </c>
      <c r="AG11">
        <v>0.65100000000000002</v>
      </c>
      <c r="AH11">
        <v>0.66500000000000004</v>
      </c>
      <c r="AI11">
        <v>8.9999999999999993E-3</v>
      </c>
      <c r="AJ11">
        <v>0.90200000000000002</v>
      </c>
      <c r="AK11">
        <v>1.6800000000000002E-2</v>
      </c>
      <c r="AL11">
        <v>2.7263999999999999</v>
      </c>
      <c r="AM11">
        <v>1.3299999999999999E-2</v>
      </c>
      <c r="AN11">
        <v>0.349923037455105</v>
      </c>
      <c r="AO11" s="5">
        <v>1.6401307872033599</v>
      </c>
      <c r="AP11">
        <v>1.21523357342772</v>
      </c>
      <c r="AQ11">
        <v>0.38508842794818099</v>
      </c>
      <c r="AR11">
        <v>0</v>
      </c>
      <c r="AS11">
        <v>0</v>
      </c>
      <c r="AT11">
        <v>3.9808785827456603E-2</v>
      </c>
      <c r="AU11">
        <v>0</v>
      </c>
      <c r="AV11">
        <v>0</v>
      </c>
      <c r="AW11">
        <v>5.70083479884268E-2</v>
      </c>
      <c r="AX11">
        <v>4.9620352319790402E-2</v>
      </c>
      <c r="AY11">
        <v>0.20956618064182</v>
      </c>
      <c r="AZ11">
        <v>0</v>
      </c>
      <c r="BA11">
        <v>8.3935808814675703E-3</v>
      </c>
      <c r="BB11">
        <v>0</v>
      </c>
      <c r="BC11">
        <v>0</v>
      </c>
      <c r="BD11">
        <v>0</v>
      </c>
      <c r="BE11">
        <v>0</v>
      </c>
      <c r="BF11">
        <v>0.86152310638537999</v>
      </c>
      <c r="BG11">
        <v>0</v>
      </c>
      <c r="BH11" s="3">
        <v>1461.7221059999999</v>
      </c>
      <c r="BI11">
        <v>66.210408999999999</v>
      </c>
      <c r="BJ11">
        <v>91.67595</v>
      </c>
      <c r="BK11">
        <v>1303.8357470000001</v>
      </c>
      <c r="BL11">
        <v>0</v>
      </c>
      <c r="BM11">
        <v>0</v>
      </c>
      <c r="BN11">
        <v>0</v>
      </c>
      <c r="BO11">
        <v>0</v>
      </c>
      <c r="BP11">
        <v>10.186216999999999</v>
      </c>
      <c r="BQ11">
        <v>10.186216</v>
      </c>
      <c r="BR11">
        <v>346.33136999999999</v>
      </c>
      <c r="BS11">
        <v>40.744866999999999</v>
      </c>
      <c r="BT11">
        <v>0</v>
      </c>
      <c r="BU11">
        <v>0</v>
      </c>
      <c r="BV11">
        <v>0</v>
      </c>
      <c r="BW11">
        <v>183.351902</v>
      </c>
      <c r="BX11">
        <v>0</v>
      </c>
      <c r="BY11">
        <v>733.40760799999998</v>
      </c>
      <c r="BZ11" s="5">
        <v>17</v>
      </c>
      <c r="CA11">
        <v>2.1955793111943098</v>
      </c>
      <c r="CB11" s="5">
        <v>1.5391358214122901</v>
      </c>
      <c r="CC11" s="5">
        <v>0.54324741362708695</v>
      </c>
      <c r="CD11" s="5">
        <v>0.67416139510206596</v>
      </c>
      <c r="CE11">
        <v>3.8576153590416402E-3</v>
      </c>
      <c r="CF11">
        <v>4.5296167259305298E-2</v>
      </c>
      <c r="CG11">
        <v>6.2717769419846206E-2</v>
      </c>
      <c r="CH11">
        <v>0</v>
      </c>
      <c r="CI11">
        <v>0.89198606332084895</v>
      </c>
      <c r="CJ11">
        <v>0</v>
      </c>
      <c r="CK11">
        <v>0</v>
      </c>
      <c r="CL11">
        <v>0</v>
      </c>
      <c r="CM11">
        <v>6.96864059056654E-3</v>
      </c>
      <c r="CN11">
        <v>6.9686412746911E-3</v>
      </c>
      <c r="CO11">
        <v>2.7874564414639799E-2</v>
      </c>
      <c r="CP11">
        <v>6.96864059056654E-3</v>
      </c>
      <c r="CQ11">
        <v>3.48432056893309E-2</v>
      </c>
      <c r="CR11">
        <v>6.9686412746911E-3</v>
      </c>
      <c r="CS11">
        <v>3.48432029528327E-3</v>
      </c>
      <c r="CT11">
        <v>0.15331010462258099</v>
      </c>
      <c r="CU11">
        <v>0.65505226545434803</v>
      </c>
      <c r="CV11">
        <v>224.09676899999999</v>
      </c>
      <c r="CW11">
        <v>957.50437699999998</v>
      </c>
    </row>
    <row r="12" spans="1:101">
      <c r="A12" t="s">
        <v>158</v>
      </c>
      <c r="B12" s="10" t="s">
        <v>148</v>
      </c>
      <c r="C12" s="12">
        <v>45399</v>
      </c>
      <c r="D12">
        <v>31.4</v>
      </c>
      <c r="E12">
        <v>120.216667</v>
      </c>
      <c r="F12">
        <v>2</v>
      </c>
      <c r="G12" t="s">
        <v>26</v>
      </c>
      <c r="H12" t="s">
        <v>27</v>
      </c>
      <c r="I12">
        <v>20.805</v>
      </c>
      <c r="J12">
        <v>20.805</v>
      </c>
      <c r="K12">
        <v>757.8</v>
      </c>
      <c r="L12">
        <v>96.1</v>
      </c>
      <c r="M12">
        <v>8.59</v>
      </c>
      <c r="N12">
        <v>402.6</v>
      </c>
      <c r="O12">
        <v>370.4</v>
      </c>
      <c r="P12">
        <v>4.75</v>
      </c>
      <c r="Q12">
        <v>0.22</v>
      </c>
      <c r="R12">
        <v>0.28000000000000003</v>
      </c>
      <c r="S12">
        <v>1610.4</v>
      </c>
      <c r="T12">
        <v>3.82</v>
      </c>
      <c r="U12">
        <v>7.0587</v>
      </c>
      <c r="V12">
        <v>7.8899999999999998E-2</v>
      </c>
      <c r="W12">
        <v>2.0999999999999999E-3</v>
      </c>
      <c r="X12">
        <v>5.2429999999999997E-2</v>
      </c>
      <c r="Y12">
        <f t="shared" ref="Y12:Y51" si="0">W12+X12</f>
        <v>5.4529999999999995E-2</v>
      </c>
      <c r="Z12">
        <v>3.607E-3</v>
      </c>
      <c r="AA12">
        <v>0.4496</v>
      </c>
      <c r="AB12">
        <v>1.0659999999999999E-2</v>
      </c>
      <c r="AC12">
        <v>0.59279999999999999</v>
      </c>
      <c r="AD12">
        <v>2.9049999999999999E-2</v>
      </c>
      <c r="AE12">
        <v>0.02</v>
      </c>
      <c r="AF12">
        <v>1E-3</v>
      </c>
      <c r="AG12">
        <v>9.9000000000000005E-2</v>
      </c>
      <c r="AH12">
        <v>0.1</v>
      </c>
      <c r="AI12">
        <v>3.0000000000000001E-3</v>
      </c>
      <c r="AJ12">
        <v>0.20399999999999999</v>
      </c>
      <c r="AK12">
        <v>1.23E-2</v>
      </c>
      <c r="AL12">
        <v>0.4667</v>
      </c>
      <c r="AM12">
        <v>3.7499999999999999E-2</v>
      </c>
      <c r="AN12">
        <v>0.52360295993876005</v>
      </c>
      <c r="AO12" s="5">
        <v>2.1987579324208202</v>
      </c>
      <c r="AP12">
        <v>0</v>
      </c>
      <c r="AQ12">
        <v>1.9346660008182299</v>
      </c>
      <c r="AR12">
        <v>0</v>
      </c>
      <c r="AS12">
        <v>8.5006649920324001E-2</v>
      </c>
      <c r="AT12">
        <v>0</v>
      </c>
      <c r="AU12">
        <v>0.179085281682273</v>
      </c>
      <c r="AV12">
        <v>0</v>
      </c>
      <c r="AW12">
        <v>0</v>
      </c>
      <c r="AX12">
        <v>5.6698338845465199E-2</v>
      </c>
      <c r="AY12">
        <v>1.67652944513455</v>
      </c>
      <c r="AZ12">
        <v>8.5006649920324001E-2</v>
      </c>
      <c r="BA12">
        <v>8.6402548231787196E-3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 s="3">
        <v>127.327708</v>
      </c>
      <c r="BI12">
        <v>0</v>
      </c>
      <c r="BJ12">
        <v>117.141492</v>
      </c>
      <c r="BK12">
        <v>0</v>
      </c>
      <c r="BL12">
        <v>5.093108</v>
      </c>
      <c r="BM12">
        <v>0</v>
      </c>
      <c r="BN12">
        <v>5.093108</v>
      </c>
      <c r="BO12">
        <v>0</v>
      </c>
      <c r="BP12">
        <v>81.489733999999999</v>
      </c>
      <c r="BQ12">
        <v>15.279325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 s="5">
        <v>8</v>
      </c>
      <c r="CA12">
        <v>1.4396332309276101</v>
      </c>
      <c r="CB12" s="5">
        <v>1.31751211169461</v>
      </c>
      <c r="CC12" s="5">
        <v>0.63358939661765201</v>
      </c>
      <c r="CD12" s="5">
        <v>0.57636624183429797</v>
      </c>
      <c r="CE12">
        <v>2.90459166503385E-2</v>
      </c>
      <c r="CF12">
        <v>0</v>
      </c>
      <c r="CG12">
        <v>0.9200000050264</v>
      </c>
      <c r="CH12">
        <v>3.9999997486799999E-2</v>
      </c>
      <c r="CI12">
        <v>0</v>
      </c>
      <c r="CJ12">
        <v>3.9999997486799999E-2</v>
      </c>
      <c r="CK12">
        <v>0</v>
      </c>
      <c r="CL12">
        <v>0</v>
      </c>
      <c r="CM12">
        <v>0.12000000031414999</v>
      </c>
      <c r="CN12">
        <v>0.64000000691129999</v>
      </c>
      <c r="CO12">
        <v>0</v>
      </c>
      <c r="CP12">
        <v>8.0000002827349995E-2</v>
      </c>
      <c r="CQ12">
        <v>0</v>
      </c>
      <c r="CR12">
        <v>0.64000000691129999</v>
      </c>
      <c r="CS12">
        <v>8.0000002827349995E-2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159</v>
      </c>
      <c r="B13" s="10" t="s">
        <v>148</v>
      </c>
      <c r="C13" s="12">
        <v>45399</v>
      </c>
      <c r="D13">
        <v>31.4</v>
      </c>
      <c r="E13">
        <v>120.216667</v>
      </c>
      <c r="F13">
        <v>2</v>
      </c>
      <c r="G13" t="s">
        <v>28</v>
      </c>
      <c r="H13" t="s">
        <v>38</v>
      </c>
      <c r="I13">
        <v>20.465</v>
      </c>
      <c r="J13">
        <v>20.465</v>
      </c>
      <c r="K13">
        <v>757.7</v>
      </c>
      <c r="L13">
        <v>121.1</v>
      </c>
      <c r="M13">
        <v>10.91</v>
      </c>
      <c r="N13">
        <v>403.7</v>
      </c>
      <c r="O13">
        <v>368.6</v>
      </c>
      <c r="P13">
        <v>6.57</v>
      </c>
      <c r="Q13">
        <v>0.91</v>
      </c>
      <c r="R13">
        <v>1.07</v>
      </c>
      <c r="S13">
        <v>6498</v>
      </c>
      <c r="T13">
        <v>17.38</v>
      </c>
      <c r="U13">
        <v>28.39104</v>
      </c>
      <c r="V13">
        <v>5.5399999999999998E-2</v>
      </c>
      <c r="W13">
        <v>3.4799999999999998E-2</v>
      </c>
      <c r="X13">
        <v>1.6597500000000001</v>
      </c>
      <c r="Y13">
        <f t="shared" si="0"/>
        <v>1.69455</v>
      </c>
      <c r="Z13">
        <v>4.424E-3</v>
      </c>
      <c r="AA13">
        <v>2.7608000000000001</v>
      </c>
      <c r="AB13">
        <v>1.883E-2</v>
      </c>
      <c r="AC13">
        <v>2.8504</v>
      </c>
      <c r="AD13">
        <v>7.5999999999999998E-2</v>
      </c>
      <c r="AE13">
        <v>1.7999999999999999E-2</v>
      </c>
      <c r="AF13">
        <v>2.1999999999999999E-2</v>
      </c>
      <c r="AG13">
        <v>0.74</v>
      </c>
      <c r="AH13">
        <v>0.76200000000000001</v>
      </c>
      <c r="AI13">
        <v>3.0000000000000001E-3</v>
      </c>
      <c r="AJ13">
        <v>1.147</v>
      </c>
      <c r="AK13">
        <v>2.0200000000000003E-2</v>
      </c>
      <c r="AL13">
        <v>2.6488999999999998</v>
      </c>
      <c r="AM13">
        <v>4.4999999999999998E-2</v>
      </c>
      <c r="AN13">
        <v>0.56816257408975401</v>
      </c>
      <c r="AO13" s="5">
        <v>0.62663832959733201</v>
      </c>
      <c r="AP13">
        <v>0.205016419473706</v>
      </c>
      <c r="AQ13">
        <v>0.420901888888361</v>
      </c>
      <c r="AR13">
        <v>0</v>
      </c>
      <c r="AS13">
        <v>0</v>
      </c>
      <c r="AT13">
        <v>7.2002123526489204E-4</v>
      </c>
      <c r="AU13">
        <v>0</v>
      </c>
      <c r="AV13">
        <v>0</v>
      </c>
      <c r="AW13">
        <v>0</v>
      </c>
      <c r="AX13">
        <v>7.5597785127287001E-2</v>
      </c>
      <c r="AY13">
        <v>0.10478309032091</v>
      </c>
      <c r="AZ13">
        <v>0</v>
      </c>
      <c r="BA13">
        <v>2.5920764469535999E-2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 s="3">
        <v>137.513925</v>
      </c>
      <c r="BI13">
        <v>5.093108</v>
      </c>
      <c r="BJ13">
        <v>127.327709</v>
      </c>
      <c r="BK13">
        <v>5.093108</v>
      </c>
      <c r="BL13">
        <v>0</v>
      </c>
      <c r="BM13">
        <v>0</v>
      </c>
      <c r="BN13">
        <v>0</v>
      </c>
      <c r="BO13">
        <v>0</v>
      </c>
      <c r="BP13">
        <v>5.093108</v>
      </c>
      <c r="BQ13">
        <v>20.372433999999998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 s="5">
        <v>10</v>
      </c>
      <c r="CA13">
        <v>1.8225395592120299</v>
      </c>
      <c r="CB13" s="5">
        <v>2.0135707430199501</v>
      </c>
      <c r="CC13" s="5">
        <v>0.87448266261539598</v>
      </c>
      <c r="CD13" s="5">
        <v>0.84386919630985202</v>
      </c>
      <c r="CE13">
        <v>0.457405634175508</v>
      </c>
      <c r="CF13">
        <v>3.7037034613040101E-2</v>
      </c>
      <c r="CG13">
        <v>0.92592593077392005</v>
      </c>
      <c r="CH13">
        <v>0</v>
      </c>
      <c r="CI13">
        <v>3.7037034613040101E-2</v>
      </c>
      <c r="CJ13">
        <v>0</v>
      </c>
      <c r="CK13">
        <v>0</v>
      </c>
      <c r="CL13">
        <v>0</v>
      </c>
      <c r="CM13">
        <v>0.14814815299614201</v>
      </c>
      <c r="CN13">
        <v>3.7037034613040101E-2</v>
      </c>
      <c r="CO13">
        <v>0</v>
      </c>
      <c r="CP13">
        <v>0.22222222222222199</v>
      </c>
      <c r="CQ13">
        <v>0.22222222222222199</v>
      </c>
      <c r="CR13">
        <v>3.7037034613040101E-2</v>
      </c>
      <c r="CS13">
        <v>0.22222222222222199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160</v>
      </c>
      <c r="B14" s="10" t="s">
        <v>148</v>
      </c>
      <c r="C14" s="12">
        <v>45399</v>
      </c>
      <c r="D14">
        <v>31.4</v>
      </c>
      <c r="E14">
        <v>120.216667</v>
      </c>
      <c r="F14">
        <v>2</v>
      </c>
      <c r="G14" t="s">
        <v>29</v>
      </c>
      <c r="H14" t="s">
        <v>30</v>
      </c>
      <c r="I14">
        <v>20.882000000000001</v>
      </c>
      <c r="J14">
        <v>20.882000000000001</v>
      </c>
      <c r="K14">
        <v>757.7</v>
      </c>
      <c r="L14">
        <v>92.9</v>
      </c>
      <c r="M14">
        <v>8.3000000000000007</v>
      </c>
      <c r="N14">
        <v>381</v>
      </c>
      <c r="O14">
        <v>351.1</v>
      </c>
      <c r="P14">
        <v>9.69</v>
      </c>
      <c r="Q14">
        <v>1.55</v>
      </c>
      <c r="R14">
        <v>1.82</v>
      </c>
      <c r="S14">
        <v>11089.8</v>
      </c>
      <c r="T14">
        <v>35.85</v>
      </c>
      <c r="U14">
        <v>51.843780000000002</v>
      </c>
      <c r="V14">
        <v>4.8099999999999997E-2</v>
      </c>
      <c r="W14">
        <v>1.1000000000000001E-3</v>
      </c>
      <c r="X14">
        <v>7.8899999999999998E-2</v>
      </c>
      <c r="Y14">
        <f t="shared" si="0"/>
        <v>0.08</v>
      </c>
      <c r="Z14">
        <v>3.6740000000000002E-3</v>
      </c>
      <c r="AA14">
        <v>0.64629999999999999</v>
      </c>
      <c r="AB14">
        <v>1.078E-2</v>
      </c>
      <c r="AC14">
        <v>0.96479999999999999</v>
      </c>
      <c r="AD14">
        <v>5.8220000000000001E-2</v>
      </c>
      <c r="AE14">
        <v>1.4999999999999999E-2</v>
      </c>
      <c r="AF14">
        <v>2E-3</v>
      </c>
      <c r="AG14">
        <v>0.105</v>
      </c>
      <c r="AH14">
        <v>0.107</v>
      </c>
      <c r="AI14">
        <v>1.2E-2</v>
      </c>
      <c r="AJ14">
        <v>0.33800000000000002</v>
      </c>
      <c r="AK14">
        <v>1.6800000000000002E-2</v>
      </c>
      <c r="AL14">
        <v>0.50739999999999996</v>
      </c>
      <c r="AM14">
        <v>4.2200000000000001E-2</v>
      </c>
      <c r="AN14">
        <v>0.59196501776441601</v>
      </c>
      <c r="AO14" s="5">
        <v>4.2258290859233396</v>
      </c>
      <c r="AP14">
        <v>3.7879993633614599E-2</v>
      </c>
      <c r="AQ14">
        <v>4.1542325395691497</v>
      </c>
      <c r="AR14">
        <v>0</v>
      </c>
      <c r="AS14">
        <v>0</v>
      </c>
      <c r="AT14">
        <v>3.3716552720572397E-2</v>
      </c>
      <c r="AU14">
        <v>0</v>
      </c>
      <c r="AV14">
        <v>0</v>
      </c>
      <c r="AW14">
        <v>0</v>
      </c>
      <c r="AX14">
        <v>5.6698338845465199E-2</v>
      </c>
      <c r="AY14">
        <v>3.9881976221322302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3.7879993633614599E-2</v>
      </c>
      <c r="BG14">
        <v>0</v>
      </c>
      <c r="BH14" s="3">
        <v>646.82476599999995</v>
      </c>
      <c r="BI14">
        <v>5.093108</v>
      </c>
      <c r="BJ14">
        <v>275.02785399999999</v>
      </c>
      <c r="BK14">
        <v>366.70380399999999</v>
      </c>
      <c r="BL14">
        <v>0</v>
      </c>
      <c r="BM14">
        <v>0</v>
      </c>
      <c r="BN14">
        <v>0</v>
      </c>
      <c r="BO14">
        <v>0</v>
      </c>
      <c r="BP14">
        <v>198.631227</v>
      </c>
      <c r="BQ14">
        <v>15.279325</v>
      </c>
      <c r="BR14">
        <v>0</v>
      </c>
      <c r="BS14">
        <v>361.61069600000002</v>
      </c>
      <c r="BT14">
        <v>0</v>
      </c>
      <c r="BU14">
        <v>0</v>
      </c>
      <c r="BV14">
        <v>0</v>
      </c>
      <c r="BW14">
        <v>0</v>
      </c>
      <c r="BX14">
        <v>20.372433999999998</v>
      </c>
      <c r="BY14">
        <v>0</v>
      </c>
      <c r="BZ14" s="5">
        <v>11</v>
      </c>
      <c r="CA14">
        <v>1.5443627447424599</v>
      </c>
      <c r="CB14" s="5">
        <v>1.65902852650472</v>
      </c>
      <c r="CC14" s="5">
        <v>0.69186863384930497</v>
      </c>
      <c r="CD14" s="5">
        <v>0.756905583665888</v>
      </c>
      <c r="CE14">
        <v>-5.5142927454197403E-2</v>
      </c>
      <c r="CF14">
        <v>7.8740151393646603E-3</v>
      </c>
      <c r="CG14">
        <v>0.42519685153799502</v>
      </c>
      <c r="CH14">
        <v>0</v>
      </c>
      <c r="CI14">
        <v>0.56692913332264105</v>
      </c>
      <c r="CJ14">
        <v>0</v>
      </c>
      <c r="CK14">
        <v>0</v>
      </c>
      <c r="CL14">
        <v>0</v>
      </c>
      <c r="CM14">
        <v>2.3622046964107701E-2</v>
      </c>
      <c r="CN14">
        <v>0.307086613625428</v>
      </c>
      <c r="CO14">
        <v>0.55905511818327602</v>
      </c>
      <c r="CP14">
        <v>0</v>
      </c>
      <c r="CQ14">
        <v>3.1496063649486199E-2</v>
      </c>
      <c r="CR14">
        <v>0.28346456666132103</v>
      </c>
      <c r="CS14">
        <v>0</v>
      </c>
      <c r="CT14">
        <v>0.55905511818327602</v>
      </c>
      <c r="CU14">
        <v>0.55905511818327602</v>
      </c>
      <c r="CV14">
        <v>361.61069600000002</v>
      </c>
      <c r="CW14">
        <v>361.61069600000002</v>
      </c>
    </row>
    <row r="15" spans="1:101">
      <c r="A15" t="s">
        <v>161</v>
      </c>
      <c r="B15" s="10" t="s">
        <v>148</v>
      </c>
      <c r="C15" s="12">
        <v>45399</v>
      </c>
      <c r="D15">
        <v>31.4</v>
      </c>
      <c r="E15">
        <v>120.216667</v>
      </c>
      <c r="F15">
        <v>2</v>
      </c>
      <c r="G15" t="s">
        <v>31</v>
      </c>
      <c r="H15" t="s">
        <v>30</v>
      </c>
      <c r="I15">
        <v>20.843</v>
      </c>
      <c r="J15">
        <v>20.843</v>
      </c>
      <c r="K15">
        <v>757.9</v>
      </c>
      <c r="L15">
        <v>94.4</v>
      </c>
      <c r="M15">
        <v>8.43</v>
      </c>
      <c r="N15">
        <v>398.2</v>
      </c>
      <c r="O15">
        <v>366.6</v>
      </c>
      <c r="P15">
        <v>9.16</v>
      </c>
      <c r="Q15">
        <v>1.34</v>
      </c>
      <c r="R15">
        <v>1.58</v>
      </c>
      <c r="S15">
        <v>9629.2999999999993</v>
      </c>
      <c r="T15">
        <v>51.05</v>
      </c>
      <c r="U15">
        <v>29.794409999999999</v>
      </c>
      <c r="V15">
        <v>8.0100000000000005E-2</v>
      </c>
      <c r="W15">
        <v>5.0000000000000001E-4</v>
      </c>
      <c r="X15">
        <v>5.2400000000000002E-2</v>
      </c>
      <c r="Y15">
        <f t="shared" si="0"/>
        <v>5.2900000000000003E-2</v>
      </c>
      <c r="Z15">
        <v>3.0109999999999998E-3</v>
      </c>
      <c r="AA15">
        <v>0.61170000000000002</v>
      </c>
      <c r="AB15">
        <v>1.1769999999999999E-2</v>
      </c>
      <c r="AC15">
        <v>0.76239999999999997</v>
      </c>
      <c r="AD15">
        <v>4.0869999999999997E-2</v>
      </c>
      <c r="AE15">
        <v>1.4999999999999999E-2</v>
      </c>
      <c r="AF15">
        <v>1E-3</v>
      </c>
      <c r="AG15">
        <v>4.9000000000000002E-2</v>
      </c>
      <c r="AH15">
        <v>0.05</v>
      </c>
      <c r="AI15">
        <v>5.0000000000000001E-3</v>
      </c>
      <c r="AJ15">
        <v>0.28899999999999998</v>
      </c>
      <c r="AK15">
        <v>1.12E-2</v>
      </c>
      <c r="AL15">
        <v>0.44400000000000001</v>
      </c>
      <c r="AM15">
        <v>4.2200000000000001E-2</v>
      </c>
      <c r="AN15">
        <v>0.56461030718456495</v>
      </c>
      <c r="AO15" s="5">
        <v>5.4799663217578702</v>
      </c>
      <c r="AP15">
        <v>0</v>
      </c>
      <c r="AQ15">
        <v>5.2838272037810903</v>
      </c>
      <c r="AR15">
        <v>0</v>
      </c>
      <c r="AS15">
        <v>0</v>
      </c>
      <c r="AT15">
        <v>2.1333962526367098E-3</v>
      </c>
      <c r="AU15">
        <v>0.19400572172415101</v>
      </c>
      <c r="AV15">
        <v>0</v>
      </c>
      <c r="AW15">
        <v>0</v>
      </c>
      <c r="AX15">
        <v>0.11814015092140299</v>
      </c>
      <c r="AY15">
        <v>5.10159045893014</v>
      </c>
      <c r="AZ15">
        <v>0</v>
      </c>
      <c r="BA15">
        <v>8.6402548231787196E-3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 s="3">
        <v>371.79691200000002</v>
      </c>
      <c r="BI15">
        <v>0</v>
      </c>
      <c r="BJ15">
        <v>315.77271999999999</v>
      </c>
      <c r="BK15">
        <v>50.931083999999998</v>
      </c>
      <c r="BL15">
        <v>0</v>
      </c>
      <c r="BM15">
        <v>0</v>
      </c>
      <c r="BN15">
        <v>5.093108</v>
      </c>
      <c r="BO15">
        <v>0</v>
      </c>
      <c r="BP15">
        <v>249.56231</v>
      </c>
      <c r="BQ15">
        <v>25.465541999999999</v>
      </c>
      <c r="BR15">
        <v>50.931083999999998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20.372433999999998</v>
      </c>
      <c r="BY15">
        <v>0</v>
      </c>
      <c r="BZ15" s="5">
        <v>11</v>
      </c>
      <c r="CA15">
        <v>1.68813050498052</v>
      </c>
      <c r="CB15" s="5">
        <v>1.4310384082206999</v>
      </c>
      <c r="CC15" s="5">
        <v>0.59678936960022499</v>
      </c>
      <c r="CD15" s="5">
        <v>0.59655442031373695</v>
      </c>
      <c r="CE15">
        <v>-5.5142927454197403E-2</v>
      </c>
      <c r="CF15">
        <v>0</v>
      </c>
      <c r="CG15">
        <v>0.84931506908266097</v>
      </c>
      <c r="CH15">
        <v>0</v>
      </c>
      <c r="CI15">
        <v>0.136986301811996</v>
      </c>
      <c r="CJ15">
        <v>1.3698629105343399E-2</v>
      </c>
      <c r="CK15">
        <v>0</v>
      </c>
      <c r="CL15">
        <v>0</v>
      </c>
      <c r="CM15">
        <v>6.8493150905997793E-2</v>
      </c>
      <c r="CN15">
        <v>0.67123287457535397</v>
      </c>
      <c r="CO15">
        <v>0</v>
      </c>
      <c r="CP15">
        <v>2.7397260900327201E-2</v>
      </c>
      <c r="CQ15">
        <v>2.7397260900327201E-2</v>
      </c>
      <c r="CR15">
        <v>0.61643835546434</v>
      </c>
      <c r="CS15">
        <v>2.7397260900327201E-2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162</v>
      </c>
      <c r="B16" s="10" t="s">
        <v>148</v>
      </c>
      <c r="C16" s="12">
        <v>45399</v>
      </c>
      <c r="D16">
        <v>31.4</v>
      </c>
      <c r="E16">
        <v>120.216667</v>
      </c>
      <c r="F16">
        <v>2</v>
      </c>
      <c r="G16" t="s">
        <v>32</v>
      </c>
      <c r="H16" t="s">
        <v>39</v>
      </c>
      <c r="I16">
        <v>25.346</v>
      </c>
      <c r="J16">
        <v>25.346</v>
      </c>
      <c r="K16">
        <v>757.7</v>
      </c>
      <c r="L16">
        <v>144</v>
      </c>
      <c r="M16">
        <v>11.89</v>
      </c>
      <c r="N16">
        <v>406.1</v>
      </c>
      <c r="O16">
        <v>408.8</v>
      </c>
      <c r="P16">
        <v>2.63</v>
      </c>
      <c r="Q16">
        <v>2.2599999999999998</v>
      </c>
      <c r="R16">
        <v>2.66</v>
      </c>
      <c r="S16">
        <v>16231.4</v>
      </c>
      <c r="T16">
        <v>57.26</v>
      </c>
      <c r="U16">
        <v>77.408550000000005</v>
      </c>
      <c r="V16">
        <v>4.3900000000000002E-2</v>
      </c>
      <c r="W16">
        <v>3.2899999999999999E-2</v>
      </c>
      <c r="X16">
        <v>2.1447500000000002</v>
      </c>
      <c r="Y16">
        <f t="shared" si="0"/>
        <v>2.1776500000000003</v>
      </c>
      <c r="Z16">
        <v>3.3430000000000001E-3</v>
      </c>
      <c r="AA16">
        <v>3.1587999999999998</v>
      </c>
      <c r="AB16">
        <v>2.5669999999999998E-2</v>
      </c>
      <c r="AC16">
        <v>3.2686000000000002</v>
      </c>
      <c r="AD16">
        <v>8.4269999999999998E-2</v>
      </c>
      <c r="AE16">
        <v>0.03</v>
      </c>
      <c r="AF16">
        <v>1.7999999999999999E-2</v>
      </c>
      <c r="AG16">
        <v>0.64700000000000002</v>
      </c>
      <c r="AH16">
        <v>0.66500000000000004</v>
      </c>
      <c r="AI16">
        <v>3.0000000000000001E-3</v>
      </c>
      <c r="AJ16">
        <v>1.1279999999999999</v>
      </c>
      <c r="AK16">
        <v>2.8100000000000003E-2</v>
      </c>
      <c r="AL16">
        <v>2.9293</v>
      </c>
      <c r="AM16">
        <v>4.6899999999999997E-2</v>
      </c>
      <c r="AN16">
        <v>0.475415070242656</v>
      </c>
      <c r="AO16" s="5">
        <v>4.5323177787705902</v>
      </c>
      <c r="AP16">
        <v>0.205016419473706</v>
      </c>
      <c r="AQ16">
        <v>4.3273013592968903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0.144100916570675</v>
      </c>
      <c r="AX16">
        <v>0.20789390910003899</v>
      </c>
      <c r="AY16">
        <v>2.9302464204496799</v>
      </c>
      <c r="AZ16">
        <v>0</v>
      </c>
      <c r="BA16">
        <v>0.108003185289734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 s="3">
        <v>590.80057399999998</v>
      </c>
      <c r="BI16">
        <v>5.093108</v>
      </c>
      <c r="BJ16">
        <v>585.70746599999995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137.513927</v>
      </c>
      <c r="BQ16">
        <v>56.024191999999999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20.372433999999998</v>
      </c>
      <c r="BY16">
        <v>0</v>
      </c>
      <c r="BZ16" s="5">
        <v>17</v>
      </c>
      <c r="CA16">
        <v>2.5059288544992899</v>
      </c>
      <c r="CB16" s="5">
        <v>2.4095764323845001</v>
      </c>
      <c r="CC16" s="5">
        <v>0.850474757730313</v>
      </c>
      <c r="CD16" s="5">
        <v>0.88409800427463003</v>
      </c>
      <c r="CE16">
        <v>2.88705225937708</v>
      </c>
      <c r="CF16">
        <v>8.6206889839616201E-3</v>
      </c>
      <c r="CG16">
        <v>0.99137931101603805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9.4827585594051897E-2</v>
      </c>
      <c r="CN16">
        <v>0.23275862118576801</v>
      </c>
      <c r="CO16">
        <v>0</v>
      </c>
      <c r="CP16">
        <v>0.215517241525226</v>
      </c>
      <c r="CQ16">
        <v>0.18965517288072201</v>
      </c>
      <c r="CR16">
        <v>0.17241379322018099</v>
      </c>
      <c r="CS16">
        <v>0.215517241525226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163</v>
      </c>
      <c r="B17" s="10" t="s">
        <v>148</v>
      </c>
      <c r="C17" s="12">
        <v>45399</v>
      </c>
      <c r="D17">
        <v>31.4</v>
      </c>
      <c r="E17">
        <v>120.216667</v>
      </c>
      <c r="F17">
        <v>2</v>
      </c>
      <c r="G17" t="s">
        <v>33</v>
      </c>
      <c r="H17" t="s">
        <v>39</v>
      </c>
      <c r="I17">
        <v>26.48</v>
      </c>
      <c r="J17">
        <v>26.48</v>
      </c>
      <c r="K17">
        <v>757.9</v>
      </c>
      <c r="L17">
        <v>126.4</v>
      </c>
      <c r="M17">
        <v>10.15</v>
      </c>
      <c r="N17">
        <v>401.7</v>
      </c>
      <c r="O17">
        <v>413.1</v>
      </c>
      <c r="P17">
        <v>0.49</v>
      </c>
      <c r="Q17">
        <v>0.56999999999999995</v>
      </c>
      <c r="R17">
        <v>0.68</v>
      </c>
      <c r="S17">
        <v>4079.2</v>
      </c>
      <c r="T17">
        <v>1.57</v>
      </c>
      <c r="U17">
        <v>4.9731750000000003</v>
      </c>
      <c r="V17">
        <v>7.6600000000000001E-2</v>
      </c>
      <c r="W17">
        <v>3.3500000000000002E-2</v>
      </c>
      <c r="X17">
        <v>1.4047499999999999</v>
      </c>
      <c r="Y17">
        <f t="shared" si="0"/>
        <v>1.43825</v>
      </c>
      <c r="Z17">
        <v>4.1370000000000001E-3</v>
      </c>
      <c r="AA17">
        <v>2.1901000000000002</v>
      </c>
      <c r="AB17">
        <v>1.823E-2</v>
      </c>
      <c r="AC17">
        <v>2.3287</v>
      </c>
      <c r="AD17">
        <v>3.5319999999999997E-2</v>
      </c>
      <c r="AE17">
        <v>1.4999999999999999E-2</v>
      </c>
      <c r="AF17">
        <v>2.9000000000000001E-2</v>
      </c>
      <c r="AG17">
        <v>1.05</v>
      </c>
      <c r="AH17">
        <v>1.079</v>
      </c>
      <c r="AI17">
        <v>3.0000000000000001E-3</v>
      </c>
      <c r="AJ17">
        <v>1.431</v>
      </c>
      <c r="AK17">
        <v>1.7999999999999999E-2</v>
      </c>
      <c r="AL17">
        <v>2.3633000000000002</v>
      </c>
      <c r="AM17">
        <v>4.0300000000000002E-2</v>
      </c>
      <c r="AN17">
        <v>0.35591054313099002</v>
      </c>
      <c r="AO17" s="5">
        <v>6.47330202531822E-2</v>
      </c>
      <c r="AP17">
        <v>0</v>
      </c>
      <c r="AQ17">
        <v>6.47330202531822E-2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3.7798892563643702E-2</v>
      </c>
      <c r="AY17">
        <v>0</v>
      </c>
      <c r="AZ17">
        <v>0</v>
      </c>
      <c r="BA17">
        <v>8.6402548231787196E-3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 s="3">
        <v>101.862168</v>
      </c>
      <c r="BI17">
        <v>0</v>
      </c>
      <c r="BJ17">
        <v>101.862168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10.186216999999999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 s="5">
        <v>4</v>
      </c>
      <c r="CA17">
        <v>0.64612495965313199</v>
      </c>
      <c r="CB17" s="5">
        <v>0.72185692720483896</v>
      </c>
      <c r="CC17" s="5">
        <v>0.52070970455488397</v>
      </c>
      <c r="CD17" s="5">
        <v>0.36480277195138799</v>
      </c>
      <c r="CE17">
        <v>2.88705225937708</v>
      </c>
      <c r="CF17">
        <v>0</v>
      </c>
      <c r="CG17">
        <v>1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0.100000001963438</v>
      </c>
      <c r="CN17">
        <v>0</v>
      </c>
      <c r="CO17">
        <v>0</v>
      </c>
      <c r="CP17">
        <v>0.100000001963438</v>
      </c>
      <c r="CQ17">
        <v>0</v>
      </c>
      <c r="CR17">
        <v>0</v>
      </c>
      <c r="CS17">
        <v>0.100000001963438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164</v>
      </c>
      <c r="B18" s="10" t="s">
        <v>148</v>
      </c>
      <c r="C18" s="12">
        <v>45399</v>
      </c>
      <c r="D18">
        <v>31.4</v>
      </c>
      <c r="E18">
        <v>120.216667</v>
      </c>
      <c r="F18">
        <v>2</v>
      </c>
      <c r="G18" t="s">
        <v>34</v>
      </c>
      <c r="H18" t="s">
        <v>40</v>
      </c>
      <c r="I18">
        <v>20.907</v>
      </c>
      <c r="J18">
        <v>20.907</v>
      </c>
      <c r="K18">
        <v>757.9</v>
      </c>
      <c r="L18">
        <v>96.8</v>
      </c>
      <c r="M18">
        <v>8.64</v>
      </c>
      <c r="N18">
        <v>404.1</v>
      </c>
      <c r="O18">
        <v>372.5</v>
      </c>
      <c r="P18">
        <v>8.65</v>
      </c>
      <c r="Q18">
        <v>9.4499999999999993</v>
      </c>
      <c r="R18">
        <v>11.06</v>
      </c>
      <c r="S18">
        <v>67745.600000000006</v>
      </c>
      <c r="T18">
        <v>191.35</v>
      </c>
      <c r="U18">
        <v>204.26519999999999</v>
      </c>
      <c r="V18">
        <v>7.3899999999999993E-2</v>
      </c>
      <c r="W18">
        <v>4.7300000000000002E-2</v>
      </c>
      <c r="X18">
        <v>1.3534999999999999</v>
      </c>
      <c r="Y18">
        <f t="shared" si="0"/>
        <v>1.4007999999999998</v>
      </c>
      <c r="Z18">
        <v>3.5739999999999999E-3</v>
      </c>
      <c r="AA18">
        <v>2.5764</v>
      </c>
      <c r="AB18">
        <v>2.1010000000000001E-2</v>
      </c>
      <c r="AC18">
        <v>3.3517999999999999</v>
      </c>
      <c r="AD18">
        <v>0.10970000000000001</v>
      </c>
      <c r="AE18">
        <v>8.0000000000000002E-3</v>
      </c>
      <c r="AF18">
        <v>2.1000000000000001E-2</v>
      </c>
      <c r="AG18">
        <v>0.498</v>
      </c>
      <c r="AH18">
        <v>0.51900000000000002</v>
      </c>
      <c r="AI18">
        <v>3.0000000000000001E-3</v>
      </c>
      <c r="AJ18">
        <v>0.79600000000000004</v>
      </c>
      <c r="AK18">
        <v>1.9099999999999999E-2</v>
      </c>
      <c r="AL18">
        <v>2.6223999999999998</v>
      </c>
      <c r="AM18">
        <v>4.7800000000000002E-2</v>
      </c>
      <c r="AN18">
        <v>0.55555555555555602</v>
      </c>
      <c r="AO18" s="5">
        <v>7.8342455135248104</v>
      </c>
      <c r="AP18">
        <v>0</v>
      </c>
      <c r="AQ18">
        <v>7.4681467706611002</v>
      </c>
      <c r="AR18">
        <v>0</v>
      </c>
      <c r="AS18">
        <v>0.24251708786368001</v>
      </c>
      <c r="AT18">
        <v>0.12358165500002501</v>
      </c>
      <c r="AU18">
        <v>0</v>
      </c>
      <c r="AV18">
        <v>0</v>
      </c>
      <c r="AW18">
        <v>0</v>
      </c>
      <c r="AX18">
        <v>3.3334316447448699E-3</v>
      </c>
      <c r="AY18">
        <v>7.3348163224636798</v>
      </c>
      <c r="AZ18">
        <v>0.24251708786368001</v>
      </c>
      <c r="BA18">
        <v>4.7521401527482701E-2</v>
      </c>
      <c r="BB18">
        <v>0</v>
      </c>
      <c r="BC18">
        <v>0</v>
      </c>
      <c r="BD18">
        <v>1.0388706389480201E-2</v>
      </c>
      <c r="BE18">
        <v>0</v>
      </c>
      <c r="BF18">
        <v>0</v>
      </c>
      <c r="BG18">
        <v>0</v>
      </c>
      <c r="BH18" s="3">
        <v>1059.366542</v>
      </c>
      <c r="BI18">
        <v>0</v>
      </c>
      <c r="BJ18">
        <v>499.12462099999999</v>
      </c>
      <c r="BK18">
        <v>550.05570499999999</v>
      </c>
      <c r="BL18">
        <v>10.186216</v>
      </c>
      <c r="BM18">
        <v>0</v>
      </c>
      <c r="BN18">
        <v>0</v>
      </c>
      <c r="BO18">
        <v>0</v>
      </c>
      <c r="BP18">
        <v>356.51758799999999</v>
      </c>
      <c r="BQ18">
        <v>5.093108</v>
      </c>
      <c r="BR18">
        <v>0</v>
      </c>
      <c r="BS18">
        <v>71.303516999999999</v>
      </c>
      <c r="BT18">
        <v>5.093108</v>
      </c>
      <c r="BU18">
        <v>0</v>
      </c>
      <c r="BV18">
        <v>0</v>
      </c>
      <c r="BW18">
        <v>315.77271999999999</v>
      </c>
      <c r="BX18">
        <v>30.55865</v>
      </c>
      <c r="BY18">
        <v>0</v>
      </c>
      <c r="BZ18" s="5">
        <v>14</v>
      </c>
      <c r="CA18">
        <v>1.8658557243695699</v>
      </c>
      <c r="CB18" s="5">
        <v>1.79231822488783</v>
      </c>
      <c r="CC18" s="5">
        <v>0.67915092437538205</v>
      </c>
      <c r="CD18" s="5">
        <v>0.77751075847231499</v>
      </c>
      <c r="CE18">
        <v>-0.18603275666608901</v>
      </c>
      <c r="CF18">
        <v>0</v>
      </c>
      <c r="CG18">
        <v>0.47115384638983598</v>
      </c>
      <c r="CH18">
        <v>9.6153839074143606E-3</v>
      </c>
      <c r="CI18">
        <v>0.51923076970274895</v>
      </c>
      <c r="CJ18">
        <v>0</v>
      </c>
      <c r="CK18">
        <v>0</v>
      </c>
      <c r="CL18">
        <v>0</v>
      </c>
      <c r="CM18">
        <v>4.8076919537071803E-3</v>
      </c>
      <c r="CN18">
        <v>0.33653846319039199</v>
      </c>
      <c r="CO18">
        <v>6.7307692071702202E-2</v>
      </c>
      <c r="CP18">
        <v>5.2884615266620298E-2</v>
      </c>
      <c r="CQ18">
        <v>0</v>
      </c>
      <c r="CR18">
        <v>0.31730769348764298</v>
      </c>
      <c r="CS18">
        <v>5.2884615266620298E-2</v>
      </c>
      <c r="CT18">
        <v>0.51923076970274895</v>
      </c>
      <c r="CU18">
        <v>0.51923076970274895</v>
      </c>
      <c r="CV18">
        <v>550.05570499999999</v>
      </c>
      <c r="CW18">
        <v>550.05570499999999</v>
      </c>
    </row>
    <row r="19" spans="1:101">
      <c r="A19" t="s">
        <v>165</v>
      </c>
      <c r="B19" s="10" t="s">
        <v>148</v>
      </c>
      <c r="C19" s="12">
        <v>45399</v>
      </c>
      <c r="D19">
        <v>31.4</v>
      </c>
      <c r="E19">
        <v>120.216667</v>
      </c>
      <c r="F19">
        <v>2</v>
      </c>
      <c r="G19" t="s">
        <v>35</v>
      </c>
      <c r="H19" t="s">
        <v>40</v>
      </c>
      <c r="I19">
        <v>20.681000000000001</v>
      </c>
      <c r="J19">
        <v>20.681000000000001</v>
      </c>
      <c r="K19">
        <v>757.8</v>
      </c>
      <c r="L19">
        <v>96.2</v>
      </c>
      <c r="M19">
        <v>8.6199999999999992</v>
      </c>
      <c r="N19">
        <v>406.6</v>
      </c>
      <c r="O19">
        <v>373.1</v>
      </c>
      <c r="P19">
        <v>9.09</v>
      </c>
      <c r="Q19">
        <v>3.39</v>
      </c>
      <c r="R19">
        <v>3.98</v>
      </c>
      <c r="S19">
        <v>23451.200000000001</v>
      </c>
      <c r="T19">
        <v>166.72</v>
      </c>
      <c r="U19">
        <v>168.05099999999999</v>
      </c>
      <c r="V19">
        <v>3.9489999999999997E-2</v>
      </c>
      <c r="W19">
        <v>4.4499999999999998E-2</v>
      </c>
      <c r="X19">
        <v>2.1440000000000001</v>
      </c>
      <c r="Y19">
        <f t="shared" si="0"/>
        <v>2.1885000000000003</v>
      </c>
      <c r="Z19">
        <v>3.2320000000000001E-3</v>
      </c>
      <c r="AA19">
        <v>3.1160999999999999</v>
      </c>
      <c r="AB19">
        <v>2.3060000000000001E-2</v>
      </c>
      <c r="AC19">
        <v>3.5388000000000002</v>
      </c>
      <c r="AD19">
        <v>0.1072</v>
      </c>
      <c r="AE19">
        <v>1.7999999999999999E-2</v>
      </c>
      <c r="AF19">
        <v>2.8000000000000001E-2</v>
      </c>
      <c r="AG19">
        <v>0.97399999999999998</v>
      </c>
      <c r="AH19">
        <v>1.002</v>
      </c>
      <c r="AI19">
        <v>3.0000000000000001E-3</v>
      </c>
      <c r="AJ19">
        <v>1.409</v>
      </c>
      <c r="AK19">
        <v>2.3599999999999999E-2</v>
      </c>
      <c r="AL19">
        <v>3.0790999999999999</v>
      </c>
      <c r="AM19">
        <v>4.9200000000000001E-2</v>
      </c>
      <c r="AN19">
        <v>0.549863760217984</v>
      </c>
      <c r="AO19" s="5">
        <v>13.028059946395899</v>
      </c>
      <c r="AP19">
        <v>1.1292762795522899</v>
      </c>
      <c r="AQ19">
        <v>11.898783666843601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8.7419244883433805E-2</v>
      </c>
      <c r="AY19">
        <v>11.0022244836955</v>
      </c>
      <c r="AZ19">
        <v>0</v>
      </c>
      <c r="BA19">
        <v>8.6402548231787196E-3</v>
      </c>
      <c r="BB19">
        <v>0</v>
      </c>
      <c r="BC19">
        <v>0</v>
      </c>
      <c r="BD19">
        <v>0</v>
      </c>
      <c r="BE19">
        <v>0</v>
      </c>
      <c r="BF19">
        <v>3.7879993633614599E-2</v>
      </c>
      <c r="BG19">
        <v>0</v>
      </c>
      <c r="BH19" s="3">
        <v>646.82476399999996</v>
      </c>
      <c r="BI19">
        <v>15.279324000000001</v>
      </c>
      <c r="BJ19">
        <v>631.54543999999999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534.77638000000002</v>
      </c>
      <c r="BQ19">
        <v>20.372433000000001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 s="5">
        <v>14</v>
      </c>
      <c r="CA19">
        <v>2.0076715691209399</v>
      </c>
      <c r="CB19" s="5">
        <v>0.91302444281494</v>
      </c>
      <c r="CC19" s="5">
        <v>0.34596612683213201</v>
      </c>
      <c r="CD19" s="5">
        <v>0.32988949602392298</v>
      </c>
      <c r="CE19">
        <v>-0.18603275666608901</v>
      </c>
      <c r="CF19">
        <v>2.3622045491133999E-2</v>
      </c>
      <c r="CG19">
        <v>0.976377954508866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3.1496062200859098E-2</v>
      </c>
      <c r="CN19">
        <v>0.826771654030241</v>
      </c>
      <c r="CO19">
        <v>0</v>
      </c>
      <c r="CP19">
        <v>1.5748031873436399E-2</v>
      </c>
      <c r="CQ19">
        <v>4.7244095620309297E-2</v>
      </c>
      <c r="CR19">
        <v>0.818897638866529</v>
      </c>
      <c r="CS19">
        <v>1.5748031873436399E-2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166</v>
      </c>
      <c r="B20" s="10" t="s">
        <v>148</v>
      </c>
      <c r="C20" s="12">
        <v>45399</v>
      </c>
      <c r="D20">
        <v>31.4</v>
      </c>
      <c r="E20">
        <v>120.216667</v>
      </c>
      <c r="F20">
        <v>2</v>
      </c>
      <c r="G20" t="s">
        <v>36</v>
      </c>
      <c r="H20" t="s">
        <v>41</v>
      </c>
      <c r="I20">
        <v>27.417000000000002</v>
      </c>
      <c r="J20">
        <v>27.417000000000002</v>
      </c>
      <c r="K20">
        <v>757.7</v>
      </c>
      <c r="L20">
        <v>89.2</v>
      </c>
      <c r="M20">
        <v>7.05</v>
      </c>
      <c r="N20">
        <v>381</v>
      </c>
      <c r="O20">
        <v>398.5</v>
      </c>
      <c r="P20">
        <v>8.93</v>
      </c>
      <c r="Q20">
        <v>2.21</v>
      </c>
      <c r="R20">
        <v>2.6</v>
      </c>
      <c r="S20">
        <v>15834.4</v>
      </c>
      <c r="T20">
        <v>46.27</v>
      </c>
      <c r="U20">
        <v>66.831659999999999</v>
      </c>
      <c r="V20">
        <v>8.48E-2</v>
      </c>
      <c r="W20">
        <v>2.8199999999999999E-2</v>
      </c>
      <c r="X20">
        <v>1.772</v>
      </c>
      <c r="Y20">
        <f t="shared" si="0"/>
        <v>1.8002</v>
      </c>
      <c r="Z20">
        <v>3.5959999999999998E-3</v>
      </c>
      <c r="AA20">
        <v>2.6686999999999999</v>
      </c>
      <c r="AB20">
        <v>2.213E-2</v>
      </c>
      <c r="AC20">
        <v>2.8338999999999999</v>
      </c>
      <c r="AD20">
        <v>8.0439999999999998E-2</v>
      </c>
      <c r="AE20">
        <v>1.4999999999999999E-2</v>
      </c>
      <c r="AF20">
        <v>1.7000000000000001E-2</v>
      </c>
      <c r="AG20">
        <v>0.64600000000000002</v>
      </c>
      <c r="AH20">
        <v>0.66300000000000003</v>
      </c>
      <c r="AI20">
        <v>3.0000000000000001E-3</v>
      </c>
      <c r="AJ20">
        <v>1.0880000000000001</v>
      </c>
      <c r="AK20">
        <v>2.0200000000000003E-2</v>
      </c>
      <c r="AL20">
        <v>2.3489</v>
      </c>
      <c r="AM20">
        <v>4.6399999999999997E-2</v>
      </c>
      <c r="AN20">
        <v>0.51923076923076905</v>
      </c>
      <c r="AO20" s="5">
        <v>4.2703884711693698</v>
      </c>
      <c r="AP20">
        <v>0.217692348874789</v>
      </c>
      <c r="AQ20">
        <v>4.0526961222945799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5.6698338845465199E-2</v>
      </c>
      <c r="AY20">
        <v>3.77219125155275</v>
      </c>
      <c r="AZ20">
        <v>0</v>
      </c>
      <c r="BA20">
        <v>8.6155874290075596E-2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 s="3">
        <v>371.79691100000002</v>
      </c>
      <c r="BI20">
        <v>10.186216</v>
      </c>
      <c r="BJ20">
        <v>361.61069500000002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183.351902</v>
      </c>
      <c r="BQ20">
        <v>15.279325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 s="5">
        <v>11</v>
      </c>
      <c r="CA20">
        <v>1.6881305057429099</v>
      </c>
      <c r="CB20" s="5">
        <v>1.6425631886451599</v>
      </c>
      <c r="CC20" s="5">
        <v>0.68500205462612396</v>
      </c>
      <c r="CD20" s="5">
        <v>0.72428146168496699</v>
      </c>
      <c r="CE20">
        <v>3.2386033937290299E-3</v>
      </c>
      <c r="CF20">
        <v>2.73972582843756E-2</v>
      </c>
      <c r="CG20">
        <v>0.972602741715624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4.10958901162038E-2</v>
      </c>
      <c r="CN20">
        <v>0.49315068677372598</v>
      </c>
      <c r="CO20">
        <v>0</v>
      </c>
      <c r="CP20">
        <v>0.27397260167123899</v>
      </c>
      <c r="CQ20">
        <v>5.4794521948031999E-2</v>
      </c>
      <c r="CR20">
        <v>0.43835616482569401</v>
      </c>
      <c r="CS20">
        <v>0.26027397252905099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167</v>
      </c>
      <c r="B21" s="10" t="s">
        <v>148</v>
      </c>
      <c r="C21" s="12">
        <v>45401</v>
      </c>
      <c r="D21">
        <v>31.4</v>
      </c>
      <c r="E21">
        <v>120.216667</v>
      </c>
      <c r="F21">
        <v>2</v>
      </c>
      <c r="G21" t="s">
        <v>37</v>
      </c>
      <c r="H21" t="s">
        <v>41</v>
      </c>
      <c r="I21">
        <v>25.318000000000001</v>
      </c>
      <c r="J21">
        <v>25.318000000000001</v>
      </c>
      <c r="K21">
        <v>757.8</v>
      </c>
      <c r="L21">
        <v>89.8</v>
      </c>
      <c r="M21">
        <v>7.37</v>
      </c>
      <c r="N21">
        <v>399.3</v>
      </c>
      <c r="O21">
        <v>401.7</v>
      </c>
      <c r="P21">
        <v>20.81</v>
      </c>
      <c r="Q21">
        <v>1.3</v>
      </c>
      <c r="R21">
        <v>1.53</v>
      </c>
      <c r="S21">
        <v>9317.2000000000007</v>
      </c>
      <c r="T21">
        <v>18.940000000000001</v>
      </c>
      <c r="U21">
        <v>38.538269999999997</v>
      </c>
      <c r="V21">
        <v>0.1421</v>
      </c>
      <c r="W21">
        <v>3.0599999999999999E-2</v>
      </c>
      <c r="X21">
        <v>1.8967499999999999</v>
      </c>
      <c r="Y21">
        <f t="shared" si="0"/>
        <v>1.9273499999999999</v>
      </c>
      <c r="Z21">
        <v>4.8320000000000004E-3</v>
      </c>
      <c r="AA21">
        <v>2.8933</v>
      </c>
      <c r="AB21">
        <v>1.5709999999999998E-2</v>
      </c>
      <c r="AC21">
        <v>3.2584</v>
      </c>
      <c r="AD21">
        <v>7.7770000000000006E-2</v>
      </c>
      <c r="AE21">
        <v>2.3E-2</v>
      </c>
      <c r="AF21">
        <v>2.9000000000000001E-2</v>
      </c>
      <c r="AG21">
        <v>1.4770000000000001</v>
      </c>
      <c r="AH21">
        <v>1.506</v>
      </c>
      <c r="AI21">
        <v>3.0000000000000001E-3</v>
      </c>
      <c r="AJ21">
        <v>1.93</v>
      </c>
      <c r="AK21">
        <v>1.23E-2</v>
      </c>
      <c r="AL21">
        <v>2.7566999999999999</v>
      </c>
      <c r="AM21">
        <v>4.2200000000000001E-2</v>
      </c>
      <c r="AN21">
        <v>0.58996051889452905</v>
      </c>
      <c r="AO21" s="5">
        <v>1.79765157975541</v>
      </c>
      <c r="AP21">
        <v>0.78905129970395005</v>
      </c>
      <c r="AQ21">
        <v>0.81410108062684206</v>
      </c>
      <c r="AR21">
        <v>0</v>
      </c>
      <c r="AS21">
        <v>0.15751043794335601</v>
      </c>
      <c r="AT21">
        <v>3.6988761481266799E-2</v>
      </c>
      <c r="AU21">
        <v>0</v>
      </c>
      <c r="AV21">
        <v>0</v>
      </c>
      <c r="AW21">
        <v>0</v>
      </c>
      <c r="AX21">
        <v>1.8899446281821799E-2</v>
      </c>
      <c r="AY21">
        <v>0.73348163224636698</v>
      </c>
      <c r="AZ21">
        <v>0.15751043794335601</v>
      </c>
      <c r="BA21">
        <v>8.6402548231787196E-3</v>
      </c>
      <c r="BB21">
        <v>0</v>
      </c>
      <c r="BC21">
        <v>0</v>
      </c>
      <c r="BD21">
        <v>0</v>
      </c>
      <c r="BE21">
        <v>0</v>
      </c>
      <c r="BF21">
        <v>0.77637537030286696</v>
      </c>
      <c r="BG21">
        <v>0</v>
      </c>
      <c r="BH21" s="3">
        <v>534.77637900000002</v>
      </c>
      <c r="BI21">
        <v>56.024191999999999</v>
      </c>
      <c r="BJ21">
        <v>152.793251</v>
      </c>
      <c r="BK21">
        <v>320.86582800000002</v>
      </c>
      <c r="BL21">
        <v>5.093108</v>
      </c>
      <c r="BM21">
        <v>0</v>
      </c>
      <c r="BN21">
        <v>0</v>
      </c>
      <c r="BO21">
        <v>0</v>
      </c>
      <c r="BP21">
        <v>35.651758000000001</v>
      </c>
      <c r="BQ21">
        <v>5.093108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320.86582800000002</v>
      </c>
      <c r="BX21">
        <v>0</v>
      </c>
      <c r="BY21">
        <v>0</v>
      </c>
      <c r="BZ21" s="5">
        <v>12</v>
      </c>
      <c r="CA21">
        <v>1.7500369468853201</v>
      </c>
      <c r="CB21" s="5">
        <v>1.3916024158753799</v>
      </c>
      <c r="CC21" s="5">
        <v>0.56002200967755</v>
      </c>
      <c r="CD21" s="5">
        <v>0.60305134814832695</v>
      </c>
      <c r="CE21">
        <v>3.2386033937290299E-3</v>
      </c>
      <c r="CF21">
        <v>0.104761904601624</v>
      </c>
      <c r="CG21">
        <v>0.285714285447151</v>
      </c>
      <c r="CH21">
        <v>9.5238088292602004E-3</v>
      </c>
      <c r="CI21">
        <v>0.60000000112196405</v>
      </c>
      <c r="CJ21">
        <v>0</v>
      </c>
      <c r="CK21">
        <v>0</v>
      </c>
      <c r="CL21">
        <v>0</v>
      </c>
      <c r="CM21">
        <v>9.5238088292602004E-3</v>
      </c>
      <c r="CN21">
        <v>6.6666665544702394E-2</v>
      </c>
      <c r="CO21">
        <v>0</v>
      </c>
      <c r="CP21">
        <v>1.9047619528460898E-2</v>
      </c>
      <c r="CQ21">
        <v>1.9047619528460898E-2</v>
      </c>
      <c r="CR21">
        <v>5.7142856715442197E-2</v>
      </c>
      <c r="CS21">
        <v>1.9047619528460898E-2</v>
      </c>
      <c r="CT21">
        <v>0.60000000112196405</v>
      </c>
      <c r="CU21">
        <v>0.60000000112196405</v>
      </c>
      <c r="CV21">
        <v>320.86582800000002</v>
      </c>
      <c r="CW21">
        <v>320.86582800000002</v>
      </c>
    </row>
    <row r="22" spans="1:101">
      <c r="A22" t="s">
        <v>168</v>
      </c>
      <c r="B22" s="10" t="s">
        <v>148</v>
      </c>
      <c r="C22" s="12">
        <v>45401</v>
      </c>
      <c r="D22">
        <v>31.4</v>
      </c>
      <c r="E22">
        <v>120.216667</v>
      </c>
      <c r="F22">
        <v>4</v>
      </c>
      <c r="G22" t="s">
        <v>26</v>
      </c>
      <c r="H22" t="s">
        <v>27</v>
      </c>
      <c r="I22">
        <v>19.172000000000001</v>
      </c>
      <c r="J22">
        <v>19.172000000000001</v>
      </c>
      <c r="K22">
        <v>757</v>
      </c>
      <c r="L22">
        <v>91.2</v>
      </c>
      <c r="M22">
        <v>8.42</v>
      </c>
      <c r="N22">
        <v>402.8</v>
      </c>
      <c r="O22">
        <v>358</v>
      </c>
      <c r="P22">
        <v>4.66</v>
      </c>
      <c r="Q22">
        <v>0.2</v>
      </c>
      <c r="R22">
        <v>0.24</v>
      </c>
      <c r="S22">
        <v>1402</v>
      </c>
      <c r="T22">
        <v>1.52</v>
      </c>
      <c r="U22">
        <v>4.4249400000000003</v>
      </c>
      <c r="V22">
        <v>0.14069999999999999</v>
      </c>
      <c r="W22">
        <v>1.2999999999999999E-3</v>
      </c>
      <c r="X22">
        <v>4.895E-2</v>
      </c>
      <c r="Y22">
        <f t="shared" si="0"/>
        <v>5.0250000000000003E-2</v>
      </c>
      <c r="Z22">
        <v>4.2360000000000002E-3</v>
      </c>
      <c r="AA22">
        <v>0.52559999999999996</v>
      </c>
      <c r="AB22">
        <v>1.146E-2</v>
      </c>
      <c r="AC22">
        <v>0.84279999999999999</v>
      </c>
      <c r="AD22">
        <v>3.6909999999999998E-2</v>
      </c>
      <c r="AE22">
        <v>3.9E-2</v>
      </c>
      <c r="AF22">
        <v>2E-3</v>
      </c>
      <c r="AG22">
        <v>9.4E-2</v>
      </c>
      <c r="AH22">
        <v>9.6000000000000002E-2</v>
      </c>
      <c r="AI22">
        <v>1E-3</v>
      </c>
      <c r="AJ22">
        <v>0.49199999999999999</v>
      </c>
      <c r="AK22">
        <v>1.0100000000000001E-2</v>
      </c>
      <c r="AL22">
        <v>0.68130000000000002</v>
      </c>
      <c r="AM22">
        <v>3.85E-2</v>
      </c>
      <c r="AN22">
        <v>0.27249789739276697</v>
      </c>
      <c r="AO22" s="5">
        <v>0.43863199083715199</v>
      </c>
      <c r="AP22">
        <v>0</v>
      </c>
      <c r="AQ22">
        <v>0.36806102063014001</v>
      </c>
      <c r="AR22">
        <v>7.0570970207011904E-2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0.31434927096272802</v>
      </c>
      <c r="AZ22">
        <v>0</v>
      </c>
      <c r="BA22">
        <v>8.6402548231787196E-3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 s="3">
        <v>56.024191999999999</v>
      </c>
      <c r="BI22">
        <v>0</v>
      </c>
      <c r="BJ22">
        <v>45.837975999999998</v>
      </c>
      <c r="BK22">
        <v>0</v>
      </c>
      <c r="BL22">
        <v>0</v>
      </c>
      <c r="BM22">
        <v>10.186216</v>
      </c>
      <c r="BN22">
        <v>0</v>
      </c>
      <c r="BO22">
        <v>0</v>
      </c>
      <c r="BP22">
        <v>15.279325</v>
      </c>
      <c r="BQ22">
        <v>0</v>
      </c>
      <c r="BR22">
        <v>0</v>
      </c>
      <c r="BS22">
        <v>0</v>
      </c>
      <c r="BT22">
        <v>0</v>
      </c>
      <c r="BU22">
        <v>10.186216</v>
      </c>
      <c r="BV22">
        <v>0</v>
      </c>
      <c r="BW22">
        <v>0</v>
      </c>
      <c r="BX22">
        <v>0</v>
      </c>
      <c r="BY22">
        <v>0</v>
      </c>
      <c r="BZ22" s="5">
        <v>6</v>
      </c>
      <c r="CA22">
        <v>1.2210764593019301</v>
      </c>
      <c r="CB22" s="5">
        <v>1.6151624884170499</v>
      </c>
      <c r="CC22" s="5">
        <v>0.90143934839251105</v>
      </c>
      <c r="CD22" s="5">
        <v>0.77236905567996195</v>
      </c>
      <c r="CE22">
        <v>-2.3525634188901498E-3</v>
      </c>
      <c r="CF22">
        <v>0</v>
      </c>
      <c r="CG22">
        <v>0.81818183116322296</v>
      </c>
      <c r="CH22">
        <v>0</v>
      </c>
      <c r="CI22">
        <v>0</v>
      </c>
      <c r="CJ22">
        <v>0</v>
      </c>
      <c r="CK22">
        <v>0</v>
      </c>
      <c r="CL22">
        <v>0.18181816883677701</v>
      </c>
      <c r="CM22">
        <v>0</v>
      </c>
      <c r="CN22">
        <v>0.27272727110459699</v>
      </c>
      <c r="CO22">
        <v>0</v>
      </c>
      <c r="CP22">
        <v>0.181818186686209</v>
      </c>
      <c r="CQ22">
        <v>0.363636373372417</v>
      </c>
      <c r="CR22">
        <v>0.27272727110459699</v>
      </c>
      <c r="CS22">
        <v>0.181818186686209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169</v>
      </c>
      <c r="B23" s="10" t="s">
        <v>148</v>
      </c>
      <c r="C23" s="12">
        <v>45401</v>
      </c>
      <c r="D23">
        <v>31.4</v>
      </c>
      <c r="E23">
        <v>120.216667</v>
      </c>
      <c r="F23">
        <v>4</v>
      </c>
      <c r="G23" t="s">
        <v>28</v>
      </c>
      <c r="H23" t="s">
        <v>38</v>
      </c>
      <c r="I23">
        <v>19.210999999999999</v>
      </c>
      <c r="J23">
        <v>19.210999999999999</v>
      </c>
      <c r="K23">
        <v>756.9</v>
      </c>
      <c r="L23">
        <v>113.8</v>
      </c>
      <c r="M23">
        <v>10.5</v>
      </c>
      <c r="N23">
        <v>403.6</v>
      </c>
      <c r="O23">
        <v>359</v>
      </c>
      <c r="P23">
        <v>4.37</v>
      </c>
      <c r="Q23">
        <v>1</v>
      </c>
      <c r="R23">
        <v>1.18</v>
      </c>
      <c r="S23">
        <v>7161</v>
      </c>
      <c r="T23">
        <v>11.13</v>
      </c>
      <c r="U23">
        <v>19.100339999999999</v>
      </c>
      <c r="V23">
        <v>0.1245</v>
      </c>
      <c r="W23">
        <v>3.5099999999999999E-2</v>
      </c>
      <c r="X23">
        <v>1.651</v>
      </c>
      <c r="Y23">
        <f t="shared" si="0"/>
        <v>1.6860999999999999</v>
      </c>
      <c r="Z23">
        <v>3.398E-3</v>
      </c>
      <c r="AA23">
        <v>2.3834</v>
      </c>
      <c r="AB23">
        <v>2.0480000000000002E-2</v>
      </c>
      <c r="AC23">
        <v>2.6091000000000002</v>
      </c>
      <c r="AD23">
        <v>7.0529999999999995E-2</v>
      </c>
      <c r="AE23">
        <v>4.1000000000000002E-2</v>
      </c>
      <c r="AF23">
        <v>0.03</v>
      </c>
      <c r="AG23">
        <v>1.212</v>
      </c>
      <c r="AH23">
        <v>1.242</v>
      </c>
      <c r="AI23">
        <v>1E-3</v>
      </c>
      <c r="AJ23">
        <v>1.764</v>
      </c>
      <c r="AK23">
        <v>2.0200000000000003E-2</v>
      </c>
      <c r="AL23">
        <v>1.8156000000000001</v>
      </c>
      <c r="AM23">
        <v>4.2200000000000001E-2</v>
      </c>
      <c r="AN23">
        <v>0.40390390390390402</v>
      </c>
      <c r="AO23" s="5">
        <v>0.53538101154885998</v>
      </c>
      <c r="AP23">
        <v>2.5351858802166401E-2</v>
      </c>
      <c r="AQ23">
        <v>0.44746730763812298</v>
      </c>
      <c r="AR23">
        <v>0</v>
      </c>
      <c r="AS23">
        <v>6.0001769605407401E-2</v>
      </c>
      <c r="AT23">
        <v>2.5600755031640501E-3</v>
      </c>
      <c r="AU23">
        <v>0</v>
      </c>
      <c r="AV23">
        <v>0</v>
      </c>
      <c r="AW23">
        <v>2.8504173994213299E-2</v>
      </c>
      <c r="AX23">
        <v>4.9620352319790402E-2</v>
      </c>
      <c r="AY23">
        <v>0.10478309032091</v>
      </c>
      <c r="AZ23">
        <v>6.0001769605407401E-2</v>
      </c>
      <c r="BA23">
        <v>8.6402548231787196E-3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 s="3">
        <v>198.631226</v>
      </c>
      <c r="BI23">
        <v>10.186216999999999</v>
      </c>
      <c r="BJ23">
        <v>122.2346</v>
      </c>
      <c r="BK23">
        <v>61.117300999999998</v>
      </c>
      <c r="BL23">
        <v>5.093108</v>
      </c>
      <c r="BM23">
        <v>0</v>
      </c>
      <c r="BN23">
        <v>0</v>
      </c>
      <c r="BO23">
        <v>0</v>
      </c>
      <c r="BP23">
        <v>5.093108</v>
      </c>
      <c r="BQ23">
        <v>10.186216</v>
      </c>
      <c r="BR23">
        <v>61.117300999999998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 s="5">
        <v>14</v>
      </c>
      <c r="CA23">
        <v>2.4475712787057202</v>
      </c>
      <c r="CB23" s="5">
        <v>2.1938925031243701</v>
      </c>
      <c r="CC23" s="5">
        <v>0.83131672756961605</v>
      </c>
      <c r="CD23" s="5">
        <v>0.84103820642637195</v>
      </c>
      <c r="CE23">
        <v>4.2253077583025198E-2</v>
      </c>
      <c r="CF23">
        <v>5.12820527020258E-2</v>
      </c>
      <c r="CG23">
        <v>0.615384612286489</v>
      </c>
      <c r="CH23">
        <v>2.56410238337853E-2</v>
      </c>
      <c r="CI23">
        <v>0.30769231117770002</v>
      </c>
      <c r="CJ23">
        <v>0</v>
      </c>
      <c r="CK23">
        <v>0</v>
      </c>
      <c r="CL23">
        <v>0</v>
      </c>
      <c r="CM23">
        <v>5.1282047667570697E-2</v>
      </c>
      <c r="CN23">
        <v>2.56410238337853E-2</v>
      </c>
      <c r="CO23">
        <v>0</v>
      </c>
      <c r="CP23">
        <v>5.12820527020258E-2</v>
      </c>
      <c r="CQ23">
        <v>0.15384615810607699</v>
      </c>
      <c r="CR23">
        <v>2.56410238337853E-2</v>
      </c>
      <c r="CS23">
        <v>5.12820527020258E-2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170</v>
      </c>
      <c r="B24" s="10" t="s">
        <v>148</v>
      </c>
      <c r="C24" s="12">
        <v>45401</v>
      </c>
      <c r="D24">
        <v>31.4</v>
      </c>
      <c r="E24">
        <v>120.216667</v>
      </c>
      <c r="F24">
        <v>4</v>
      </c>
      <c r="G24" t="s">
        <v>29</v>
      </c>
      <c r="H24" t="s">
        <v>30</v>
      </c>
      <c r="I24">
        <v>19.603000000000002</v>
      </c>
      <c r="J24">
        <v>19.603000000000002</v>
      </c>
      <c r="K24">
        <v>756.8</v>
      </c>
      <c r="L24">
        <v>102.1</v>
      </c>
      <c r="M24">
        <v>9.34</v>
      </c>
      <c r="N24">
        <v>382.9</v>
      </c>
      <c r="O24">
        <v>343.5</v>
      </c>
      <c r="P24">
        <v>6.53</v>
      </c>
      <c r="Q24">
        <v>1.35</v>
      </c>
      <c r="R24">
        <v>1.59</v>
      </c>
      <c r="S24">
        <v>9687.5</v>
      </c>
      <c r="T24">
        <v>28.43</v>
      </c>
      <c r="U24">
        <v>46.648800000000001</v>
      </c>
      <c r="V24">
        <v>5.5899999999999998E-2</v>
      </c>
      <c r="W24">
        <v>1.4E-3</v>
      </c>
      <c r="X24">
        <v>6.4799999999999996E-2</v>
      </c>
      <c r="Y24">
        <f t="shared" si="0"/>
        <v>6.6199999999999995E-2</v>
      </c>
      <c r="Z24">
        <v>3.1329999999999999E-3</v>
      </c>
      <c r="AA24">
        <v>0.64100000000000001</v>
      </c>
      <c r="AB24">
        <v>1.4489999999999999E-2</v>
      </c>
      <c r="AC24">
        <v>1.1197999999999999</v>
      </c>
      <c r="AD24">
        <v>5.3560000000000003E-2</v>
      </c>
      <c r="AE24">
        <v>0.02</v>
      </c>
      <c r="AF24">
        <v>1E-3</v>
      </c>
      <c r="AG24">
        <v>3.3000000000000002E-2</v>
      </c>
      <c r="AH24">
        <v>3.4000000000000002E-2</v>
      </c>
      <c r="AI24">
        <v>1E-3</v>
      </c>
      <c r="AJ24">
        <v>0.34300000000000003</v>
      </c>
      <c r="AK24">
        <v>1.23E-2</v>
      </c>
      <c r="AL24">
        <v>0.50460000000000005</v>
      </c>
      <c r="AM24">
        <v>4.0300000000000002E-2</v>
      </c>
      <c r="AN24">
        <v>0.41731409544950099</v>
      </c>
      <c r="AO24" s="5">
        <v>3.7253294944798698</v>
      </c>
      <c r="AP24">
        <v>0</v>
      </c>
      <c r="AQ24">
        <v>3.7174096359030102</v>
      </c>
      <c r="AR24">
        <v>0</v>
      </c>
      <c r="AS24">
        <v>0</v>
      </c>
      <c r="AT24">
        <v>7.9198585768537697E-3</v>
      </c>
      <c r="AU24">
        <v>0</v>
      </c>
      <c r="AV24">
        <v>0</v>
      </c>
      <c r="AW24">
        <v>0</v>
      </c>
      <c r="AX24">
        <v>0</v>
      </c>
      <c r="AY24">
        <v>3.6674081612318399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s="3">
        <v>264.84163599999999</v>
      </c>
      <c r="BI24">
        <v>0</v>
      </c>
      <c r="BJ24">
        <v>183.351902</v>
      </c>
      <c r="BK24">
        <v>81.489733999999999</v>
      </c>
      <c r="BL24">
        <v>0</v>
      </c>
      <c r="BM24">
        <v>0</v>
      </c>
      <c r="BN24">
        <v>0</v>
      </c>
      <c r="BO24">
        <v>0</v>
      </c>
      <c r="BP24">
        <v>178.25879399999999</v>
      </c>
      <c r="BQ24">
        <v>0</v>
      </c>
      <c r="BR24">
        <v>0</v>
      </c>
      <c r="BS24">
        <v>76.396625999999998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 s="5">
        <v>5</v>
      </c>
      <c r="CA24">
        <v>0.71503618402562996</v>
      </c>
      <c r="CB24" s="5">
        <v>0.84286535553242303</v>
      </c>
      <c r="CC24" s="5">
        <v>0.52370169052230198</v>
      </c>
      <c r="CD24" s="5">
        <v>0.47865663972892403</v>
      </c>
      <c r="CE24">
        <v>-4.48915408598436E-2</v>
      </c>
      <c r="CF24">
        <v>0</v>
      </c>
      <c r="CG24">
        <v>0.69230769288859095</v>
      </c>
      <c r="CH24">
        <v>0</v>
      </c>
      <c r="CI24">
        <v>0.30769230711140899</v>
      </c>
      <c r="CJ24">
        <v>0</v>
      </c>
      <c r="CK24">
        <v>0</v>
      </c>
      <c r="CL24">
        <v>0</v>
      </c>
      <c r="CM24">
        <v>0</v>
      </c>
      <c r="CN24">
        <v>0.673076925110068</v>
      </c>
      <c r="CO24">
        <v>0.28846153933288599</v>
      </c>
      <c r="CP24">
        <v>0</v>
      </c>
      <c r="CQ24">
        <v>0</v>
      </c>
      <c r="CR24">
        <v>0.673076925110068</v>
      </c>
      <c r="CS24">
        <v>0</v>
      </c>
      <c r="CT24">
        <v>0.28846153933288599</v>
      </c>
      <c r="CU24">
        <v>0.28846153933288599</v>
      </c>
      <c r="CV24">
        <v>76.396625999999998</v>
      </c>
      <c r="CW24">
        <v>76.396625999999998</v>
      </c>
    </row>
    <row r="25" spans="1:101">
      <c r="A25" t="s">
        <v>171</v>
      </c>
      <c r="B25" s="10" t="s">
        <v>148</v>
      </c>
      <c r="C25" s="12">
        <v>45401</v>
      </c>
      <c r="D25">
        <v>31.4</v>
      </c>
      <c r="E25">
        <v>120.216667</v>
      </c>
      <c r="F25">
        <v>4</v>
      </c>
      <c r="G25" t="s">
        <v>31</v>
      </c>
      <c r="H25" t="s">
        <v>30</v>
      </c>
      <c r="I25">
        <v>19.786999999999999</v>
      </c>
      <c r="J25">
        <v>19.786999999999999</v>
      </c>
      <c r="K25">
        <v>757</v>
      </c>
      <c r="L25">
        <v>100.5</v>
      </c>
      <c r="M25">
        <v>9.16</v>
      </c>
      <c r="N25">
        <v>396.2</v>
      </c>
      <c r="O25">
        <v>356.8</v>
      </c>
      <c r="P25">
        <v>5.52</v>
      </c>
      <c r="Q25">
        <v>1.5</v>
      </c>
      <c r="R25">
        <v>1.77</v>
      </c>
      <c r="S25">
        <v>10779.9</v>
      </c>
      <c r="T25">
        <v>49.85</v>
      </c>
      <c r="U25">
        <v>55.638179999999998</v>
      </c>
      <c r="V25">
        <v>8.7599999999999997E-2</v>
      </c>
      <c r="W25">
        <v>8.9999999999999998E-4</v>
      </c>
      <c r="X25">
        <v>3.9199999999999999E-2</v>
      </c>
      <c r="Y25">
        <f t="shared" si="0"/>
        <v>4.0099999999999997E-2</v>
      </c>
      <c r="Z25">
        <v>3.5409999999999999E-3</v>
      </c>
      <c r="AA25">
        <v>0.50139999999999996</v>
      </c>
      <c r="AB25">
        <v>1.154E-2</v>
      </c>
      <c r="AC25">
        <v>0.78039999999999998</v>
      </c>
      <c r="AD25">
        <v>4.1570000000000003E-2</v>
      </c>
      <c r="AE25">
        <v>0.02</v>
      </c>
      <c r="AF25">
        <v>1E-3</v>
      </c>
      <c r="AG25">
        <v>5.7000000000000002E-2</v>
      </c>
      <c r="AH25">
        <v>5.8000000000000003E-2</v>
      </c>
      <c r="AI25">
        <v>1E-3</v>
      </c>
      <c r="AJ25">
        <v>0.33600000000000002</v>
      </c>
      <c r="AK25">
        <v>1.0100000000000001E-2</v>
      </c>
      <c r="AL25">
        <v>0.47460000000000002</v>
      </c>
      <c r="AM25">
        <v>3.15E-2</v>
      </c>
      <c r="AN25">
        <v>0.28839525086173901</v>
      </c>
      <c r="AO25" s="5">
        <v>3.8711585851660502</v>
      </c>
      <c r="AP25">
        <v>0</v>
      </c>
      <c r="AQ25">
        <v>3.8692385285386801</v>
      </c>
      <c r="AR25">
        <v>0</v>
      </c>
      <c r="AS25">
        <v>0</v>
      </c>
      <c r="AT25">
        <v>1.9200566273730401E-3</v>
      </c>
      <c r="AU25">
        <v>0</v>
      </c>
      <c r="AV25">
        <v>0</v>
      </c>
      <c r="AW25">
        <v>0</v>
      </c>
      <c r="AX25">
        <v>3.7798892563643702E-2</v>
      </c>
      <c r="AY25">
        <v>3.7721912515527598</v>
      </c>
      <c r="AZ25">
        <v>0</v>
      </c>
      <c r="BA25">
        <v>1.2960382234768E-2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s="3">
        <v>269.93474400000002</v>
      </c>
      <c r="BI25">
        <v>0</v>
      </c>
      <c r="BJ25">
        <v>224.09676899999999</v>
      </c>
      <c r="BK25">
        <v>45.837975</v>
      </c>
      <c r="BL25">
        <v>0</v>
      </c>
      <c r="BM25">
        <v>0</v>
      </c>
      <c r="BN25">
        <v>0</v>
      </c>
      <c r="BO25">
        <v>0</v>
      </c>
      <c r="BP25">
        <v>183.351902</v>
      </c>
      <c r="BQ25">
        <v>10.186216999999999</v>
      </c>
      <c r="BR25">
        <v>45.837975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 s="5">
        <v>7</v>
      </c>
      <c r="CA25">
        <v>1.0689680517976701</v>
      </c>
      <c r="CB25" s="5">
        <v>1.1094915306788899</v>
      </c>
      <c r="CC25" s="5">
        <v>0.57016585848915802</v>
      </c>
      <c r="CD25" s="5">
        <v>0.51756612773644495</v>
      </c>
      <c r="CE25">
        <v>-4.48915408598436E-2</v>
      </c>
      <c r="CF25">
        <v>0</v>
      </c>
      <c r="CG25">
        <v>0.830188680713143</v>
      </c>
      <c r="CH25">
        <v>0</v>
      </c>
      <c r="CI25">
        <v>0.169811319286857</v>
      </c>
      <c r="CJ25">
        <v>0</v>
      </c>
      <c r="CK25">
        <v>0</v>
      </c>
      <c r="CL25">
        <v>0</v>
      </c>
      <c r="CM25">
        <v>3.7735849965278997E-2</v>
      </c>
      <c r="CN25">
        <v>0.67924528455662603</v>
      </c>
      <c r="CO25">
        <v>0</v>
      </c>
      <c r="CP25">
        <v>5.6603773095619002E-2</v>
      </c>
      <c r="CQ25">
        <v>0</v>
      </c>
      <c r="CR25">
        <v>0.67924528455662603</v>
      </c>
      <c r="CS25">
        <v>5.6603773095619002E-2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172</v>
      </c>
      <c r="B26" s="10" t="s">
        <v>148</v>
      </c>
      <c r="C26" s="12">
        <v>45401</v>
      </c>
      <c r="D26">
        <v>31.4</v>
      </c>
      <c r="E26">
        <v>120.216667</v>
      </c>
      <c r="F26">
        <v>4</v>
      </c>
      <c r="G26" t="s">
        <v>32</v>
      </c>
      <c r="H26" t="s">
        <v>39</v>
      </c>
      <c r="I26">
        <v>26.63</v>
      </c>
      <c r="J26">
        <v>26.63</v>
      </c>
      <c r="K26">
        <v>757</v>
      </c>
      <c r="L26">
        <v>144.9</v>
      </c>
      <c r="M26">
        <v>11.61</v>
      </c>
      <c r="N26">
        <v>410.3</v>
      </c>
      <c r="O26">
        <v>423.1</v>
      </c>
      <c r="P26">
        <v>1.66</v>
      </c>
      <c r="Q26">
        <v>2.19</v>
      </c>
      <c r="R26">
        <v>2.57</v>
      </c>
      <c r="S26">
        <v>15679.6</v>
      </c>
      <c r="T26">
        <v>38.75</v>
      </c>
      <c r="U26">
        <v>58.06362</v>
      </c>
      <c r="V26">
        <v>7.7799999999999994E-2</v>
      </c>
      <c r="W26">
        <v>2.8899999999999999E-2</v>
      </c>
      <c r="X26">
        <v>1.96025</v>
      </c>
      <c r="Y26">
        <f t="shared" si="0"/>
        <v>1.98915</v>
      </c>
      <c r="Z26">
        <v>3.4749999999999998E-3</v>
      </c>
      <c r="AA26">
        <v>2.7063000000000001</v>
      </c>
      <c r="AB26">
        <v>2.8369999999999999E-2</v>
      </c>
      <c r="AC26">
        <v>3.3136999999999999</v>
      </c>
      <c r="AD26">
        <v>8.2479999999999998E-2</v>
      </c>
      <c r="AE26">
        <v>2.1000000000000001E-2</v>
      </c>
      <c r="AF26">
        <v>3.3000000000000002E-2</v>
      </c>
      <c r="AG26">
        <v>2.0169999999999999</v>
      </c>
      <c r="AH26">
        <v>2.0499999999999998</v>
      </c>
      <c r="AI26">
        <v>1E-3</v>
      </c>
      <c r="AJ26">
        <v>2.3929999999999998</v>
      </c>
      <c r="AK26">
        <v>2.58E-2</v>
      </c>
      <c r="AL26">
        <v>2.9558</v>
      </c>
      <c r="AM26">
        <v>4.6399999999999997E-2</v>
      </c>
      <c r="AN26">
        <v>0.35487444608567198</v>
      </c>
      <c r="AO26" s="5">
        <v>2.8300957162533402</v>
      </c>
      <c r="AP26">
        <v>3.1780996339328398E-2</v>
      </c>
      <c r="AQ26">
        <v>2.6408042819706599</v>
      </c>
      <c r="AR26">
        <v>0</v>
      </c>
      <c r="AS26">
        <v>0.15751043794335601</v>
      </c>
      <c r="AT26">
        <v>0</v>
      </c>
      <c r="AU26">
        <v>0</v>
      </c>
      <c r="AV26">
        <v>0</v>
      </c>
      <c r="AW26">
        <v>8.5512521982639603E-2</v>
      </c>
      <c r="AX26">
        <v>9.4497231409108803E-2</v>
      </c>
      <c r="AY26">
        <v>2.0956618064182</v>
      </c>
      <c r="AZ26">
        <v>0.15751043794335601</v>
      </c>
      <c r="BA26">
        <v>0.108003185289734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 s="3">
        <v>371.79691300000002</v>
      </c>
      <c r="BI26">
        <v>5.093108</v>
      </c>
      <c r="BJ26">
        <v>361.61069700000002</v>
      </c>
      <c r="BK26">
        <v>0</v>
      </c>
      <c r="BL26">
        <v>5.093108</v>
      </c>
      <c r="BM26">
        <v>0</v>
      </c>
      <c r="BN26">
        <v>0</v>
      </c>
      <c r="BO26">
        <v>0</v>
      </c>
      <c r="BP26">
        <v>101.862168</v>
      </c>
      <c r="BQ26">
        <v>25.465541999999999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 s="5">
        <v>11</v>
      </c>
      <c r="CA26">
        <v>1.68661116059149</v>
      </c>
      <c r="CB26" s="5">
        <v>1.8762095933013101</v>
      </c>
      <c r="CC26" s="5">
        <v>0.78244017350755701</v>
      </c>
      <c r="CD26" s="5">
        <v>0.78957428962584997</v>
      </c>
      <c r="CE26">
        <v>2.5895576102789901</v>
      </c>
      <c r="CF26">
        <v>1.3698629068499E-2</v>
      </c>
      <c r="CG26">
        <v>0.972602741863002</v>
      </c>
      <c r="CH26">
        <v>1.3698629068499E-2</v>
      </c>
      <c r="CI26">
        <v>0</v>
      </c>
      <c r="CJ26">
        <v>0</v>
      </c>
      <c r="CK26">
        <v>0</v>
      </c>
      <c r="CL26">
        <v>0</v>
      </c>
      <c r="CM26">
        <v>6.8493150721775906E-2</v>
      </c>
      <c r="CN26">
        <v>0.27397260288710401</v>
      </c>
      <c r="CO26">
        <v>0</v>
      </c>
      <c r="CP26">
        <v>0.34246575360887899</v>
      </c>
      <c r="CQ26">
        <v>0.13698630144355201</v>
      </c>
      <c r="CR26">
        <v>0.27397260288710401</v>
      </c>
      <c r="CS26">
        <v>0.34246575360887899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173</v>
      </c>
      <c r="B27" s="10" t="s">
        <v>148</v>
      </c>
      <c r="C27" s="12">
        <v>45401</v>
      </c>
      <c r="D27">
        <v>31.4</v>
      </c>
      <c r="E27">
        <v>120.216667</v>
      </c>
      <c r="F27">
        <v>4</v>
      </c>
      <c r="G27" t="s">
        <v>33</v>
      </c>
      <c r="H27" t="s">
        <v>39</v>
      </c>
      <c r="U27">
        <v>2.4279975</v>
      </c>
      <c r="V27">
        <v>7.7600000000000002E-2</v>
      </c>
      <c r="W27">
        <v>3.85E-2</v>
      </c>
      <c r="X27">
        <v>1.611</v>
      </c>
      <c r="Y27">
        <f t="shared" si="0"/>
        <v>1.6495</v>
      </c>
      <c r="Z27">
        <v>3.4529999999999999E-3</v>
      </c>
      <c r="AA27">
        <v>2.5253999999999999</v>
      </c>
      <c r="AB27">
        <v>2.0250000000000001E-2</v>
      </c>
      <c r="AC27">
        <v>2.5364</v>
      </c>
      <c r="AD27">
        <v>3.1890000000000002E-2</v>
      </c>
      <c r="AE27">
        <v>2.5999999999999999E-2</v>
      </c>
      <c r="AF27">
        <v>2.1000000000000001E-2</v>
      </c>
      <c r="AG27">
        <v>0.79500000000000004</v>
      </c>
      <c r="AH27">
        <v>0.81600000000000006</v>
      </c>
      <c r="AI27">
        <v>6.0000000000000001E-3</v>
      </c>
      <c r="AJ27">
        <v>1.163</v>
      </c>
      <c r="AK27">
        <v>1.9099999999999999E-2</v>
      </c>
      <c r="AL27">
        <v>2.3723000000000001</v>
      </c>
      <c r="AM27">
        <v>4.5499999999999999E-2</v>
      </c>
      <c r="AN27">
        <v>0.267720090293454</v>
      </c>
      <c r="AO27" s="5">
        <v>0.11064086802244399</v>
      </c>
      <c r="AP27">
        <v>0</v>
      </c>
      <c r="AQ27">
        <v>0.107876936507046</v>
      </c>
      <c r="AR27">
        <v>0</v>
      </c>
      <c r="AS27">
        <v>0</v>
      </c>
      <c r="AT27">
        <v>2.76393151539842E-3</v>
      </c>
      <c r="AU27">
        <v>0</v>
      </c>
      <c r="AV27">
        <v>0</v>
      </c>
      <c r="AW27">
        <v>0.104543504862301</v>
      </c>
      <c r="AX27">
        <v>3.3334316447448699E-3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 s="3">
        <v>40.744866000000002</v>
      </c>
      <c r="BI27">
        <v>0</v>
      </c>
      <c r="BJ27">
        <v>10.186216</v>
      </c>
      <c r="BK27">
        <v>30.55865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5.093108</v>
      </c>
      <c r="BR27">
        <v>0</v>
      </c>
      <c r="BS27">
        <v>30.55865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 s="5">
        <v>4</v>
      </c>
      <c r="CA27">
        <v>0.78927081837192803</v>
      </c>
      <c r="CB27" s="5">
        <v>0.97099799006403897</v>
      </c>
      <c r="CC27" s="5">
        <v>0.70042699248926998</v>
      </c>
      <c r="CD27" s="5">
        <v>0.49967081047684903</v>
      </c>
      <c r="CE27">
        <v>2.5895576102789901</v>
      </c>
      <c r="CF27">
        <v>0</v>
      </c>
      <c r="CG27">
        <v>0.24999998772851501</v>
      </c>
      <c r="CH27">
        <v>0</v>
      </c>
      <c r="CI27">
        <v>0.75000001227148505</v>
      </c>
      <c r="CJ27">
        <v>0</v>
      </c>
      <c r="CK27">
        <v>0</v>
      </c>
      <c r="CL27">
        <v>0</v>
      </c>
      <c r="CM27">
        <v>0.124999993864258</v>
      </c>
      <c r="CN27">
        <v>0</v>
      </c>
      <c r="CO27">
        <v>0.75000001227148505</v>
      </c>
      <c r="CP27">
        <v>0</v>
      </c>
      <c r="CQ27">
        <v>0</v>
      </c>
      <c r="CR27">
        <v>0</v>
      </c>
      <c r="CS27">
        <v>0</v>
      </c>
      <c r="CT27">
        <v>0.75000001227148505</v>
      </c>
      <c r="CU27">
        <v>0.75000001227148505</v>
      </c>
      <c r="CV27">
        <v>30.55865</v>
      </c>
      <c r="CW27">
        <v>30.55865</v>
      </c>
    </row>
    <row r="28" spans="1:101">
      <c r="A28" t="s">
        <v>174</v>
      </c>
      <c r="B28" s="10" t="s">
        <v>148</v>
      </c>
      <c r="C28" s="12">
        <v>45401</v>
      </c>
      <c r="D28">
        <v>31.4</v>
      </c>
      <c r="E28">
        <v>120.216667</v>
      </c>
      <c r="F28">
        <v>4</v>
      </c>
      <c r="G28" t="s">
        <v>34</v>
      </c>
      <c r="H28" t="s">
        <v>40</v>
      </c>
      <c r="I28">
        <v>19.484999999999999</v>
      </c>
      <c r="J28">
        <v>19.484999999999999</v>
      </c>
      <c r="K28">
        <v>757</v>
      </c>
      <c r="L28">
        <v>108.1</v>
      </c>
      <c r="M28">
        <v>9.92</v>
      </c>
      <c r="N28">
        <v>403.5</v>
      </c>
      <c r="O28">
        <v>361</v>
      </c>
      <c r="P28">
        <v>8.92</v>
      </c>
      <c r="Q28">
        <v>9.52</v>
      </c>
      <c r="R28">
        <v>11.15</v>
      </c>
      <c r="S28">
        <v>68255.899999999994</v>
      </c>
      <c r="T28">
        <v>195.45</v>
      </c>
      <c r="U28">
        <v>180.6618</v>
      </c>
      <c r="V28">
        <v>4.9299999999999997E-2</v>
      </c>
      <c r="W28">
        <v>5.0200000000000002E-2</v>
      </c>
      <c r="X28">
        <v>1.43625</v>
      </c>
      <c r="Y28">
        <f t="shared" si="0"/>
        <v>1.48645</v>
      </c>
      <c r="Z28">
        <v>3.3869999999999998E-3</v>
      </c>
      <c r="AA28">
        <v>2.5152000000000001</v>
      </c>
      <c r="AB28">
        <v>2.0420000000000001E-2</v>
      </c>
      <c r="AC28">
        <v>3.5773999999999999</v>
      </c>
      <c r="AD28">
        <v>0.1181</v>
      </c>
      <c r="AE28">
        <v>3.5999999999999997E-2</v>
      </c>
      <c r="AF28">
        <v>3.5000000000000003E-2</v>
      </c>
      <c r="AG28">
        <v>0.93400000000000005</v>
      </c>
      <c r="AH28">
        <v>0.96900000000000008</v>
      </c>
      <c r="AI28">
        <v>7.0000000000000001E-3</v>
      </c>
      <c r="AJ28">
        <v>1.3420000000000001</v>
      </c>
      <c r="AK28">
        <v>2.3599999999999999E-2</v>
      </c>
      <c r="AL28">
        <v>2.5623999999999998</v>
      </c>
      <c r="AM28">
        <v>5.2499999999999998E-2</v>
      </c>
      <c r="AN28">
        <v>0.33099649474211301</v>
      </c>
      <c r="AO28" s="5">
        <v>13.646708021966701</v>
      </c>
      <c r="AP28">
        <v>1.07872035651759</v>
      </c>
      <c r="AQ28">
        <v>11.7795952418106</v>
      </c>
      <c r="AR28">
        <v>0</v>
      </c>
      <c r="AS28">
        <v>0.72755126359103806</v>
      </c>
      <c r="AT28">
        <v>6.0841160047449799E-2</v>
      </c>
      <c r="AU28">
        <v>0</v>
      </c>
      <c r="AV28">
        <v>0</v>
      </c>
      <c r="AW28">
        <v>2.8504173994213299E-2</v>
      </c>
      <c r="AX28">
        <v>2.5566309571311601E-2</v>
      </c>
      <c r="AY28">
        <v>11.2117906643373</v>
      </c>
      <c r="AZ28">
        <v>0.72755126359103806</v>
      </c>
      <c r="BA28">
        <v>2.1600637057946698E-2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 s="3">
        <v>1242.718445</v>
      </c>
      <c r="BI28">
        <v>5.093108</v>
      </c>
      <c r="BJ28">
        <v>651.91787299999999</v>
      </c>
      <c r="BK28">
        <v>555.14881400000002</v>
      </c>
      <c r="BL28">
        <v>30.55865</v>
      </c>
      <c r="BM28">
        <v>0</v>
      </c>
      <c r="BN28">
        <v>0</v>
      </c>
      <c r="BO28">
        <v>0</v>
      </c>
      <c r="BP28">
        <v>544.96259699999996</v>
      </c>
      <c r="BQ28">
        <v>15.279325</v>
      </c>
      <c r="BR28">
        <v>0</v>
      </c>
      <c r="BS28">
        <v>132.420818</v>
      </c>
      <c r="BT28">
        <v>0</v>
      </c>
      <c r="BU28">
        <v>0</v>
      </c>
      <c r="BV28">
        <v>0</v>
      </c>
      <c r="BW28">
        <v>417.63488799999999</v>
      </c>
      <c r="BX28">
        <v>0</v>
      </c>
      <c r="BY28">
        <v>0</v>
      </c>
      <c r="BZ28" s="5">
        <v>16</v>
      </c>
      <c r="CA28">
        <v>2.1042973564963101</v>
      </c>
      <c r="CB28" s="5">
        <v>1.5038867124958899</v>
      </c>
      <c r="CC28" s="5">
        <v>0.54241247554415595</v>
      </c>
      <c r="CD28" s="5">
        <v>0.68360055281724097</v>
      </c>
      <c r="CE28">
        <v>-0.14877143935616599</v>
      </c>
      <c r="CF28">
        <v>4.09836034903304E-3</v>
      </c>
      <c r="CG28">
        <v>0.52459016410591697</v>
      </c>
      <c r="CH28">
        <v>2.4590163703573299E-2</v>
      </c>
      <c r="CI28">
        <v>0.44672131184147701</v>
      </c>
      <c r="CJ28">
        <v>0</v>
      </c>
      <c r="CK28">
        <v>0</v>
      </c>
      <c r="CL28">
        <v>0</v>
      </c>
      <c r="CM28">
        <v>1.2295081851786601E-2</v>
      </c>
      <c r="CN28">
        <v>0.43852459033872299</v>
      </c>
      <c r="CO28">
        <v>0.10655737712173401</v>
      </c>
      <c r="CP28">
        <v>2.0491803354540199E-2</v>
      </c>
      <c r="CQ28">
        <v>0</v>
      </c>
      <c r="CR28">
        <v>0.43852459033872299</v>
      </c>
      <c r="CS28">
        <v>2.0491803354540199E-2</v>
      </c>
      <c r="CT28">
        <v>0.44262295149244402</v>
      </c>
      <c r="CU28">
        <v>0.44262295149244402</v>
      </c>
      <c r="CV28">
        <v>550.05570599999999</v>
      </c>
      <c r="CW28">
        <v>550.05570599999999</v>
      </c>
    </row>
    <row r="29" spans="1:101">
      <c r="A29" t="s">
        <v>175</v>
      </c>
      <c r="B29" s="10" t="s">
        <v>148</v>
      </c>
      <c r="C29" s="12">
        <v>45401</v>
      </c>
      <c r="D29">
        <v>31.4</v>
      </c>
      <c r="E29">
        <v>120.216667</v>
      </c>
      <c r="F29">
        <v>4</v>
      </c>
      <c r="G29" t="s">
        <v>35</v>
      </c>
      <c r="H29" t="s">
        <v>40</v>
      </c>
      <c r="I29">
        <v>19.420999999999999</v>
      </c>
      <c r="J29">
        <v>19.420999999999999</v>
      </c>
      <c r="K29">
        <v>756.9</v>
      </c>
      <c r="L29">
        <v>109.2</v>
      </c>
      <c r="M29">
        <v>10.029999999999999</v>
      </c>
      <c r="N29">
        <v>406.2</v>
      </c>
      <c r="O29">
        <v>362.9</v>
      </c>
      <c r="P29">
        <v>11.18</v>
      </c>
      <c r="Q29">
        <v>6.6</v>
      </c>
      <c r="R29">
        <v>7.73</v>
      </c>
      <c r="S29">
        <v>47302.3</v>
      </c>
      <c r="T29">
        <v>164.44</v>
      </c>
      <c r="U29">
        <v>133.86048</v>
      </c>
      <c r="V29">
        <v>0.1031</v>
      </c>
      <c r="W29">
        <v>4.8800000000000003E-2</v>
      </c>
      <c r="X29">
        <v>2.2767499999999998</v>
      </c>
      <c r="Y29">
        <f t="shared" si="0"/>
        <v>2.3255499999999998</v>
      </c>
      <c r="Z29">
        <v>2.581E-3</v>
      </c>
      <c r="AA29">
        <v>3.0362</v>
      </c>
      <c r="AB29">
        <v>2.128E-2</v>
      </c>
      <c r="AC29">
        <v>3.5889000000000002</v>
      </c>
      <c r="AD29">
        <v>0.11119999999999999</v>
      </c>
      <c r="AE29">
        <v>3.3000000000000002E-2</v>
      </c>
      <c r="AF29">
        <v>4.4999999999999998E-2</v>
      </c>
      <c r="AG29">
        <v>1.6459999999999999</v>
      </c>
      <c r="AH29">
        <v>1.6910000000000001</v>
      </c>
      <c r="AI29">
        <v>7.0000000000000001E-3</v>
      </c>
      <c r="AJ29">
        <v>2.0470000000000002</v>
      </c>
      <c r="AK29">
        <v>3.3700000000000001E-2</v>
      </c>
      <c r="AL29">
        <v>3.0278</v>
      </c>
      <c r="AM29">
        <v>4.0300000000000002E-2</v>
      </c>
      <c r="AN29">
        <v>0.42546245919477699</v>
      </c>
      <c r="AO29" s="5">
        <v>10.7735709676017</v>
      </c>
      <c r="AP29">
        <v>2.5351858802166401E-2</v>
      </c>
      <c r="AQ29">
        <v>10.5907086708562</v>
      </c>
      <c r="AR29">
        <v>0</v>
      </c>
      <c r="AS29">
        <v>0.15751043794335601</v>
      </c>
      <c r="AT29">
        <v>0</v>
      </c>
      <c r="AU29">
        <v>0</v>
      </c>
      <c r="AV29">
        <v>0</v>
      </c>
      <c r="AW29">
        <v>0.11559674257646201</v>
      </c>
      <c r="AX29">
        <v>5.6698338845465199E-2</v>
      </c>
      <c r="AY29">
        <v>10.163959761128201</v>
      </c>
      <c r="AZ29">
        <v>0.15751043794335601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 s="3">
        <v>779.24558300000001</v>
      </c>
      <c r="BI29">
        <v>10.186216999999999</v>
      </c>
      <c r="BJ29">
        <v>763.96625800000004</v>
      </c>
      <c r="BK29">
        <v>0</v>
      </c>
      <c r="BL29">
        <v>5.093108</v>
      </c>
      <c r="BM29">
        <v>0</v>
      </c>
      <c r="BN29">
        <v>0</v>
      </c>
      <c r="BO29">
        <v>0</v>
      </c>
      <c r="BP29">
        <v>494.03151400000002</v>
      </c>
      <c r="BQ29">
        <v>15.279325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40.744866999999999</v>
      </c>
      <c r="BY29">
        <v>0</v>
      </c>
      <c r="BZ29" s="5">
        <v>13</v>
      </c>
      <c r="CA29">
        <v>1.8008699217881801</v>
      </c>
      <c r="CB29" s="5">
        <v>1.42528244764233</v>
      </c>
      <c r="CC29" s="5">
        <v>0.55567664269711003</v>
      </c>
      <c r="CD29" s="5">
        <v>0.58081854835912605</v>
      </c>
      <c r="CE29">
        <v>-0.14877143935616599</v>
      </c>
      <c r="CF29">
        <v>1.30718957184002E-2</v>
      </c>
      <c r="CG29">
        <v>0.98039215706404603</v>
      </c>
      <c r="CH29">
        <v>6.5359472175538797E-3</v>
      </c>
      <c r="CI29">
        <v>0</v>
      </c>
      <c r="CJ29">
        <v>0</v>
      </c>
      <c r="CK29">
        <v>0</v>
      </c>
      <c r="CL29">
        <v>0</v>
      </c>
      <c r="CM29">
        <v>1.9607842935954099E-2</v>
      </c>
      <c r="CN29">
        <v>0.63398692886784103</v>
      </c>
      <c r="CO29">
        <v>0</v>
      </c>
      <c r="CP29">
        <v>0</v>
      </c>
      <c r="CQ29">
        <v>2.6143791436800502E-2</v>
      </c>
      <c r="CR29">
        <v>0.63398692886784103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176</v>
      </c>
      <c r="B30" s="10" t="s">
        <v>148</v>
      </c>
      <c r="C30" s="12">
        <v>45401</v>
      </c>
      <c r="D30">
        <v>31.4</v>
      </c>
      <c r="E30">
        <v>120.216667</v>
      </c>
      <c r="F30">
        <v>4</v>
      </c>
      <c r="G30" t="s">
        <v>36</v>
      </c>
      <c r="H30" t="s">
        <v>41</v>
      </c>
      <c r="I30">
        <v>26.343</v>
      </c>
      <c r="J30">
        <v>26.343</v>
      </c>
      <c r="K30">
        <v>756.9</v>
      </c>
      <c r="L30">
        <v>107.2</v>
      </c>
      <c r="M30">
        <v>8.64</v>
      </c>
      <c r="N30">
        <v>384.8</v>
      </c>
      <c r="O30">
        <v>394.6</v>
      </c>
      <c r="P30">
        <v>10.02</v>
      </c>
      <c r="Q30">
        <v>2.2200000000000002</v>
      </c>
      <c r="R30">
        <v>2.6</v>
      </c>
      <c r="S30">
        <v>15882.7</v>
      </c>
      <c r="T30">
        <v>52.31</v>
      </c>
      <c r="U30">
        <v>72.651600000000002</v>
      </c>
      <c r="V30">
        <v>8.9599999999999999E-2</v>
      </c>
      <c r="W30">
        <v>3.1099999999999999E-2</v>
      </c>
      <c r="X30">
        <v>1.609</v>
      </c>
      <c r="Y30">
        <f t="shared" si="0"/>
        <v>1.6400999999999999</v>
      </c>
      <c r="Z30">
        <v>3.1110000000000001E-3</v>
      </c>
      <c r="AA30">
        <v>2.5001000000000002</v>
      </c>
      <c r="AB30">
        <v>2.12E-2</v>
      </c>
      <c r="AC30">
        <v>3.0528</v>
      </c>
      <c r="AD30">
        <v>8.165E-2</v>
      </c>
      <c r="AE30">
        <v>3.7999999999999999E-2</v>
      </c>
      <c r="AF30">
        <v>2.5999999999999999E-2</v>
      </c>
      <c r="AG30">
        <v>1.141</v>
      </c>
      <c r="AH30">
        <v>1.167</v>
      </c>
      <c r="AI30">
        <v>1E-3</v>
      </c>
      <c r="AJ30">
        <v>1.4590000000000001</v>
      </c>
      <c r="AK30">
        <v>2.58E-2</v>
      </c>
      <c r="AL30">
        <v>2.375</v>
      </c>
      <c r="AM30">
        <v>5.2499999999999998E-2</v>
      </c>
      <c r="AN30">
        <v>0.42585428755641502</v>
      </c>
      <c r="AO30" s="5">
        <v>4.2587491455865498</v>
      </c>
      <c r="AP30">
        <v>1.26759294010832E-2</v>
      </c>
      <c r="AQ30">
        <v>4.2445798388086198</v>
      </c>
      <c r="AR30">
        <v>0</v>
      </c>
      <c r="AS30">
        <v>0</v>
      </c>
      <c r="AT30">
        <v>1.4933773768457E-3</v>
      </c>
      <c r="AU30">
        <v>0</v>
      </c>
      <c r="AV30">
        <v>0</v>
      </c>
      <c r="AW30">
        <v>0.28662178654174197</v>
      </c>
      <c r="AX30">
        <v>3.7798892563643702E-2</v>
      </c>
      <c r="AY30">
        <v>3.7458504746959802</v>
      </c>
      <c r="AZ30">
        <v>0</v>
      </c>
      <c r="BA30">
        <v>8.6402548231787196E-2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 s="3">
        <v>432.91421400000002</v>
      </c>
      <c r="BI30">
        <v>5.093108</v>
      </c>
      <c r="BJ30">
        <v>392.16934700000002</v>
      </c>
      <c r="BK30">
        <v>35.651758999999998</v>
      </c>
      <c r="BL30">
        <v>0</v>
      </c>
      <c r="BM30">
        <v>0</v>
      </c>
      <c r="BN30">
        <v>0</v>
      </c>
      <c r="BO30">
        <v>0</v>
      </c>
      <c r="BP30">
        <v>188.44501099999999</v>
      </c>
      <c r="BQ30">
        <v>10.186216999999999</v>
      </c>
      <c r="BR30">
        <v>35.651758999999998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 s="5">
        <v>12</v>
      </c>
      <c r="CA30">
        <v>1.80928882888771</v>
      </c>
      <c r="CB30" s="5">
        <v>1.84781045488231</v>
      </c>
      <c r="CC30" s="5">
        <v>0.74361363033092298</v>
      </c>
      <c r="CD30" s="5">
        <v>0.77475371601709997</v>
      </c>
      <c r="CE30">
        <v>5.4689428574947803E-2</v>
      </c>
      <c r="CF30">
        <v>1.17647049583824E-2</v>
      </c>
      <c r="CG30">
        <v>0.90588235340316203</v>
      </c>
      <c r="CH30">
        <v>0</v>
      </c>
      <c r="CI30">
        <v>8.2352941638455898E-2</v>
      </c>
      <c r="CJ30">
        <v>0</v>
      </c>
      <c r="CK30">
        <v>0</v>
      </c>
      <c r="CL30">
        <v>0</v>
      </c>
      <c r="CM30">
        <v>2.35294122266912E-2</v>
      </c>
      <c r="CN30">
        <v>0.435294118109044</v>
      </c>
      <c r="CO30">
        <v>0</v>
      </c>
      <c r="CP30">
        <v>0.23529411764705899</v>
      </c>
      <c r="CQ30">
        <v>4.70588244533824E-2</v>
      </c>
      <c r="CR30">
        <v>0.38823529365566201</v>
      </c>
      <c r="CS30">
        <v>0.23529411764705899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177</v>
      </c>
      <c r="B31" s="10" t="s">
        <v>148</v>
      </c>
      <c r="C31" s="12">
        <v>45401</v>
      </c>
      <c r="D31">
        <v>31.4</v>
      </c>
      <c r="E31">
        <v>120.216667</v>
      </c>
      <c r="F31">
        <v>4</v>
      </c>
      <c r="G31" t="s">
        <v>37</v>
      </c>
      <c r="H31" t="s">
        <v>41</v>
      </c>
      <c r="I31">
        <v>26.774000000000001</v>
      </c>
      <c r="J31">
        <v>26.774000000000001</v>
      </c>
      <c r="K31">
        <v>757</v>
      </c>
      <c r="L31">
        <v>93.4</v>
      </c>
      <c r="M31">
        <v>7.47</v>
      </c>
      <c r="N31">
        <v>407.2</v>
      </c>
      <c r="O31">
        <v>421</v>
      </c>
      <c r="P31">
        <v>27.03</v>
      </c>
      <c r="Q31">
        <v>0.79</v>
      </c>
      <c r="R31">
        <v>0.94</v>
      </c>
      <c r="S31">
        <v>5675.5</v>
      </c>
      <c r="T31">
        <v>12.29</v>
      </c>
      <c r="U31">
        <v>21.618780000000001</v>
      </c>
      <c r="V31">
        <v>0.21590000000000001</v>
      </c>
      <c r="W31">
        <v>2.3E-2</v>
      </c>
      <c r="X31">
        <v>1.327</v>
      </c>
      <c r="Y31">
        <f t="shared" si="0"/>
        <v>1.3499999999999999</v>
      </c>
      <c r="Z31">
        <v>6.1349999999999998E-3</v>
      </c>
      <c r="AA31">
        <v>2.1324999999999998</v>
      </c>
      <c r="AB31">
        <v>1.7270000000000001E-2</v>
      </c>
      <c r="AC31">
        <v>3.6019999999999999</v>
      </c>
      <c r="AD31">
        <v>7.8259999999999996E-2</v>
      </c>
      <c r="AE31">
        <v>0.14799999999999999</v>
      </c>
      <c r="AF31">
        <v>0.03</v>
      </c>
      <c r="AG31">
        <v>1.5529999999999999</v>
      </c>
      <c r="AH31">
        <v>1.583</v>
      </c>
      <c r="AI31">
        <v>6.0000000000000001E-3</v>
      </c>
      <c r="AJ31">
        <v>2.012</v>
      </c>
      <c r="AK31">
        <v>1.5699999999999999E-2</v>
      </c>
      <c r="AL31">
        <v>2.7749999999999999</v>
      </c>
      <c r="AM31">
        <v>4.3099999999999999E-2</v>
      </c>
      <c r="AN31">
        <v>0.562586286240221</v>
      </c>
      <c r="AO31" s="5">
        <v>1.37889358203344</v>
      </c>
      <c r="AP31">
        <v>0.215438842266543</v>
      </c>
      <c r="AQ31">
        <v>1.00458426171249</v>
      </c>
      <c r="AR31">
        <v>0</v>
      </c>
      <c r="AS31">
        <v>0.15751043794335601</v>
      </c>
      <c r="AT31">
        <v>1.3600401110559E-3</v>
      </c>
      <c r="AU31">
        <v>0</v>
      </c>
      <c r="AV31">
        <v>0</v>
      </c>
      <c r="AW31">
        <v>0</v>
      </c>
      <c r="AX31">
        <v>1.8899446281821799E-2</v>
      </c>
      <c r="AY31">
        <v>0.75370222860338998</v>
      </c>
      <c r="AZ31">
        <v>0.15751043794335601</v>
      </c>
      <c r="BA31">
        <v>0</v>
      </c>
      <c r="BB31">
        <v>0</v>
      </c>
      <c r="BC31">
        <v>0</v>
      </c>
      <c r="BD31">
        <v>0</v>
      </c>
      <c r="BE31">
        <v>8.0823673262684498E-2</v>
      </c>
      <c r="BF31">
        <v>0.113639980900843</v>
      </c>
      <c r="BG31">
        <v>0</v>
      </c>
      <c r="BH31" s="3">
        <v>193.538115</v>
      </c>
      <c r="BI31">
        <v>30.558648999999999</v>
      </c>
      <c r="BJ31">
        <v>137.513925</v>
      </c>
      <c r="BK31">
        <v>20.372433000000001</v>
      </c>
      <c r="BL31">
        <v>5.093108</v>
      </c>
      <c r="BM31">
        <v>0</v>
      </c>
      <c r="BN31">
        <v>0</v>
      </c>
      <c r="BO31">
        <v>0</v>
      </c>
      <c r="BP31">
        <v>35.651758000000001</v>
      </c>
      <c r="BQ31">
        <v>5.093108</v>
      </c>
      <c r="BR31">
        <v>15.279325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s="5">
        <v>13</v>
      </c>
      <c r="CA31">
        <v>2.2701769554783202</v>
      </c>
      <c r="CB31" s="5">
        <v>1.87440233512987</v>
      </c>
      <c r="CC31" s="5">
        <v>0.73077557249898994</v>
      </c>
      <c r="CD31" s="5">
        <v>0.74299311269343904</v>
      </c>
      <c r="CE31">
        <v>5.4689428574947803E-2</v>
      </c>
      <c r="CF31">
        <v>0.15789473303488599</v>
      </c>
      <c r="CG31">
        <v>0.71052632190821896</v>
      </c>
      <c r="CH31">
        <v>2.63157879779908E-2</v>
      </c>
      <c r="CI31">
        <v>0.105263157078904</v>
      </c>
      <c r="CJ31">
        <v>0</v>
      </c>
      <c r="CK31">
        <v>0</v>
      </c>
      <c r="CL31">
        <v>0</v>
      </c>
      <c r="CM31">
        <v>2.63157879779908E-2</v>
      </c>
      <c r="CN31">
        <v>0.18421052617981701</v>
      </c>
      <c r="CO31">
        <v>0</v>
      </c>
      <c r="CP31">
        <v>0</v>
      </c>
      <c r="CQ31">
        <v>0.47368421977241998</v>
      </c>
      <c r="CR31">
        <v>0.15789473820182701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>
      <c r="A32" t="s">
        <v>178</v>
      </c>
      <c r="B32" s="10" t="s">
        <v>148</v>
      </c>
      <c r="C32" s="12">
        <v>45403</v>
      </c>
      <c r="D32">
        <v>31.4</v>
      </c>
      <c r="E32">
        <v>120.216667</v>
      </c>
      <c r="F32">
        <v>6</v>
      </c>
      <c r="G32" t="s">
        <v>26</v>
      </c>
      <c r="H32" t="s">
        <v>27</v>
      </c>
      <c r="I32">
        <v>19.795000000000002</v>
      </c>
      <c r="J32">
        <v>19.795000000000002</v>
      </c>
      <c r="K32">
        <v>757.7</v>
      </c>
      <c r="L32">
        <v>94.6</v>
      </c>
      <c r="M32">
        <v>8.6300000000000008</v>
      </c>
      <c r="N32">
        <v>406.9</v>
      </c>
      <c r="O32">
        <v>366.5</v>
      </c>
      <c r="P32">
        <v>4.6900000000000004</v>
      </c>
      <c r="Q32">
        <v>0.13</v>
      </c>
      <c r="R32">
        <v>0.17</v>
      </c>
      <c r="S32">
        <v>962.9</v>
      </c>
      <c r="T32">
        <v>1.72</v>
      </c>
      <c r="AE32">
        <v>0.03</v>
      </c>
      <c r="AF32">
        <v>1E-3</v>
      </c>
      <c r="AG32">
        <v>9.4E-2</v>
      </c>
      <c r="AH32">
        <v>9.5000000000000001E-2</v>
      </c>
      <c r="AI32">
        <v>4.0000000000000001E-3</v>
      </c>
      <c r="AJ32">
        <v>0.27300000000000002</v>
      </c>
      <c r="AK32">
        <v>1.4599999999999998E-2</v>
      </c>
      <c r="AL32">
        <v>0.52969999999999995</v>
      </c>
      <c r="AM32">
        <v>4.6899999999999997E-2</v>
      </c>
      <c r="AN32">
        <v>0.29069385070700399</v>
      </c>
      <c r="AO32" s="5">
        <v>0.34933181783888501</v>
      </c>
      <c r="AP32">
        <v>0</v>
      </c>
      <c r="AQ32">
        <v>0.26960502204763998</v>
      </c>
      <c r="AR32">
        <v>7.9726795791244795E-2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1.8899446281821799E-2</v>
      </c>
      <c r="AY32">
        <v>0.20956618064182</v>
      </c>
      <c r="AZ32">
        <v>0</v>
      </c>
      <c r="BA32">
        <v>8.6402548231787196E-3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 s="3">
        <v>45.837975999999998</v>
      </c>
      <c r="BI32">
        <v>0</v>
      </c>
      <c r="BJ32">
        <v>35.651758999999998</v>
      </c>
      <c r="BK32">
        <v>0</v>
      </c>
      <c r="BL32">
        <v>0</v>
      </c>
      <c r="BM32">
        <v>10.186216999999999</v>
      </c>
      <c r="BN32">
        <v>0</v>
      </c>
      <c r="BO32">
        <v>0</v>
      </c>
      <c r="BP32">
        <v>10.186216999999999</v>
      </c>
      <c r="BQ32">
        <v>5.093108</v>
      </c>
      <c r="BR32">
        <v>0</v>
      </c>
      <c r="BS32">
        <v>0</v>
      </c>
      <c r="BT32">
        <v>0</v>
      </c>
      <c r="BU32">
        <v>10.186216999999999</v>
      </c>
      <c r="BV32">
        <v>0</v>
      </c>
      <c r="BW32">
        <v>0</v>
      </c>
      <c r="BX32">
        <v>0</v>
      </c>
      <c r="BY32">
        <v>0</v>
      </c>
      <c r="BZ32" s="5">
        <v>6</v>
      </c>
      <c r="CA32">
        <v>1.26642457435533</v>
      </c>
      <c r="CB32" s="5">
        <v>1.75645075074479</v>
      </c>
      <c r="CC32" s="5">
        <v>0.98029382900458295</v>
      </c>
      <c r="CD32" s="5">
        <v>0.822499211241143</v>
      </c>
      <c r="CE32">
        <v>6.7964321838545998E-3</v>
      </c>
      <c r="CF32">
        <v>0</v>
      </c>
      <c r="CG32">
        <v>0.77777777535378101</v>
      </c>
      <c r="CH32">
        <v>0</v>
      </c>
      <c r="CI32">
        <v>0</v>
      </c>
      <c r="CJ32">
        <v>0</v>
      </c>
      <c r="CK32">
        <v>0</v>
      </c>
      <c r="CL32">
        <v>0.22222222464621899</v>
      </c>
      <c r="CM32">
        <v>0.11111110141512399</v>
      </c>
      <c r="CN32">
        <v>0.22222222464621899</v>
      </c>
      <c r="CO32">
        <v>0</v>
      </c>
      <c r="CP32">
        <v>0.22222222464621899</v>
      </c>
      <c r="CQ32">
        <v>0.22222222464621899</v>
      </c>
      <c r="CR32">
        <v>0.22222222464621899</v>
      </c>
      <c r="CS32">
        <v>0.22222222464621899</v>
      </c>
      <c r="CT32">
        <v>0</v>
      </c>
      <c r="CU32">
        <v>0</v>
      </c>
      <c r="CV32">
        <v>0</v>
      </c>
      <c r="CW32">
        <v>0</v>
      </c>
    </row>
    <row r="33" spans="1:101">
      <c r="A33" t="s">
        <v>179</v>
      </c>
      <c r="B33" s="10" t="s">
        <v>148</v>
      </c>
      <c r="C33" s="12">
        <v>45403</v>
      </c>
      <c r="D33">
        <v>31.4</v>
      </c>
      <c r="E33">
        <v>120.216667</v>
      </c>
      <c r="F33">
        <v>6</v>
      </c>
      <c r="G33" t="s">
        <v>28</v>
      </c>
      <c r="H33" t="s">
        <v>38</v>
      </c>
      <c r="I33">
        <v>19.818000000000001</v>
      </c>
      <c r="J33">
        <v>19.818000000000001</v>
      </c>
      <c r="K33">
        <v>757.7</v>
      </c>
      <c r="L33">
        <v>133</v>
      </c>
      <c r="M33">
        <v>12.12</v>
      </c>
      <c r="N33">
        <v>407.4</v>
      </c>
      <c r="O33">
        <v>367.1</v>
      </c>
      <c r="P33">
        <v>5.2</v>
      </c>
      <c r="Q33">
        <v>0.75</v>
      </c>
      <c r="R33">
        <v>0.89</v>
      </c>
      <c r="S33">
        <v>5388.2</v>
      </c>
      <c r="T33">
        <v>10.07</v>
      </c>
      <c r="AE33">
        <v>3.1E-2</v>
      </c>
      <c r="AF33">
        <v>4.7E-2</v>
      </c>
      <c r="AG33">
        <v>1.946</v>
      </c>
      <c r="AH33">
        <v>1.9930000000000001</v>
      </c>
      <c r="AI33">
        <v>4.0000000000000001E-3</v>
      </c>
      <c r="AJ33">
        <v>2.4369999999999998</v>
      </c>
      <c r="AK33">
        <v>2.69E-2</v>
      </c>
      <c r="AL33">
        <v>2.6055000000000001</v>
      </c>
      <c r="AM33">
        <v>3.0099999999999998E-2</v>
      </c>
      <c r="AN33">
        <v>0.41344195519348298</v>
      </c>
      <c r="AO33" s="5">
        <v>1.2813595906808499</v>
      </c>
      <c r="AP33">
        <v>8.8731505807582003E-2</v>
      </c>
      <c r="AQ33">
        <v>0.61520564579003201</v>
      </c>
      <c r="AR33">
        <v>0</v>
      </c>
      <c r="AS33">
        <v>0.57641240929487703</v>
      </c>
      <c r="AT33">
        <v>1.0100297883577E-3</v>
      </c>
      <c r="AU33">
        <v>0</v>
      </c>
      <c r="AV33">
        <v>0</v>
      </c>
      <c r="AW33">
        <v>2.8504173994213299E-2</v>
      </c>
      <c r="AX33">
        <v>0.260847693064574</v>
      </c>
      <c r="AY33">
        <v>0</v>
      </c>
      <c r="AZ33">
        <v>0.557537963750391</v>
      </c>
      <c r="BA33">
        <v>1.2960382234768E-2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 s="3">
        <v>290.30717700000002</v>
      </c>
      <c r="BI33">
        <v>35.651758999999998</v>
      </c>
      <c r="BJ33">
        <v>224.09676899999999</v>
      </c>
      <c r="BK33">
        <v>5.093108</v>
      </c>
      <c r="BL33">
        <v>25.465541000000002</v>
      </c>
      <c r="BM33">
        <v>0</v>
      </c>
      <c r="BN33">
        <v>0</v>
      </c>
      <c r="BO33">
        <v>0</v>
      </c>
      <c r="BP33">
        <v>0</v>
      </c>
      <c r="BQ33">
        <v>71.303516999999999</v>
      </c>
      <c r="BR33">
        <v>0</v>
      </c>
      <c r="BS33">
        <v>0</v>
      </c>
      <c r="BT33">
        <v>0</v>
      </c>
      <c r="BU33">
        <v>0</v>
      </c>
      <c r="BV33">
        <v>20.372433999999998</v>
      </c>
      <c r="BW33">
        <v>0</v>
      </c>
      <c r="BX33">
        <v>0</v>
      </c>
      <c r="BY33">
        <v>0</v>
      </c>
      <c r="BZ33" s="5">
        <v>17</v>
      </c>
      <c r="CA33">
        <v>2.8112607343752201</v>
      </c>
      <c r="CB33" s="5">
        <v>2.4900075119615601</v>
      </c>
      <c r="CC33" s="5">
        <v>0.87886339981608996</v>
      </c>
      <c r="CD33" s="5">
        <v>0.89470582024386502</v>
      </c>
      <c r="CE33">
        <v>0.14773462010487201</v>
      </c>
      <c r="CF33">
        <v>0.12280701899422899</v>
      </c>
      <c r="CG33">
        <v>0.77192982728084603</v>
      </c>
      <c r="CH33">
        <v>8.7719295344875395E-2</v>
      </c>
      <c r="CI33">
        <v>1.7543858380049598E-2</v>
      </c>
      <c r="CJ33">
        <v>0</v>
      </c>
      <c r="CK33">
        <v>0</v>
      </c>
      <c r="CL33">
        <v>0</v>
      </c>
      <c r="CM33">
        <v>0.24561403454383099</v>
      </c>
      <c r="CN33">
        <v>0</v>
      </c>
      <c r="CO33">
        <v>0</v>
      </c>
      <c r="CP33">
        <v>5.2631578584776101E-2</v>
      </c>
      <c r="CQ33">
        <v>0.21052631778373099</v>
      </c>
      <c r="CR33">
        <v>0</v>
      </c>
      <c r="CS33">
        <v>5.2631578584776101E-2</v>
      </c>
      <c r="CT33">
        <v>0</v>
      </c>
      <c r="CU33">
        <v>0</v>
      </c>
      <c r="CV33">
        <v>0</v>
      </c>
      <c r="CW33">
        <v>0</v>
      </c>
    </row>
    <row r="34" spans="1:101">
      <c r="A34" t="s">
        <v>180</v>
      </c>
      <c r="B34" s="10" t="s">
        <v>148</v>
      </c>
      <c r="C34" s="12">
        <v>45403</v>
      </c>
      <c r="D34">
        <v>31.4</v>
      </c>
      <c r="E34">
        <v>120.216667</v>
      </c>
      <c r="F34">
        <v>6</v>
      </c>
      <c r="G34" t="s">
        <v>29</v>
      </c>
      <c r="H34" t="s">
        <v>30</v>
      </c>
      <c r="I34">
        <v>19.911000000000001</v>
      </c>
      <c r="J34">
        <v>19.911000000000001</v>
      </c>
      <c r="K34">
        <v>757.7</v>
      </c>
      <c r="L34">
        <v>103.9</v>
      </c>
      <c r="M34">
        <v>9.4600000000000009</v>
      </c>
      <c r="N34">
        <v>378.3</v>
      </c>
      <c r="O34">
        <v>341.5</v>
      </c>
      <c r="P34">
        <v>8.84</v>
      </c>
      <c r="Q34">
        <v>1.1100000000000001</v>
      </c>
      <c r="R34">
        <v>1.31</v>
      </c>
      <c r="S34">
        <v>7945.4</v>
      </c>
      <c r="T34">
        <v>24.29</v>
      </c>
      <c r="AE34">
        <v>2.8000000000000001E-2</v>
      </c>
      <c r="AF34">
        <v>2E-3</v>
      </c>
      <c r="AG34">
        <v>0.14099999999999999</v>
      </c>
      <c r="AH34">
        <v>0.14299999999999999</v>
      </c>
      <c r="AI34">
        <v>7.0000000000000001E-3</v>
      </c>
      <c r="AJ34">
        <v>0.33500000000000002</v>
      </c>
      <c r="AK34">
        <v>2.1299999999999999E-2</v>
      </c>
      <c r="AL34">
        <v>0.56489999999999996</v>
      </c>
      <c r="AM34">
        <v>3.61E-2</v>
      </c>
      <c r="AN34">
        <v>0.46302665520206399</v>
      </c>
      <c r="AO34" s="5">
        <v>7.9743868323846803</v>
      </c>
      <c r="AP34">
        <v>1.26759294010832E-2</v>
      </c>
      <c r="AQ34">
        <v>7.9617109029836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1.8899446281821799E-2</v>
      </c>
      <c r="AY34">
        <v>7.36701727215193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s="3">
        <v>494.03151300000002</v>
      </c>
      <c r="BI34">
        <v>5.093108</v>
      </c>
      <c r="BJ34">
        <v>488.93840499999999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381.98312900000002</v>
      </c>
      <c r="BQ34">
        <v>5.093108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 s="5">
        <v>10</v>
      </c>
      <c r="CA34">
        <v>1.44818604600142</v>
      </c>
      <c r="CB34" s="5">
        <v>1.3475718999289601</v>
      </c>
      <c r="CC34" s="5">
        <v>0.58524304010702899</v>
      </c>
      <c r="CD34" s="5">
        <v>0.59120078316220204</v>
      </c>
      <c r="CE34">
        <v>-4.8659099999999997E-2</v>
      </c>
      <c r="CF34">
        <v>1.0309277578412299E-2</v>
      </c>
      <c r="CG34">
        <v>0.98969072242158795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1.0309277578412299E-2</v>
      </c>
      <c r="CN34">
        <v>0.77319587708163096</v>
      </c>
      <c r="CO34">
        <v>0</v>
      </c>
      <c r="CP34">
        <v>0</v>
      </c>
      <c r="CQ34">
        <v>6.1855669518798499E-2</v>
      </c>
      <c r="CR34">
        <v>0.61855670126047202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181</v>
      </c>
      <c r="B35" s="10" t="s">
        <v>148</v>
      </c>
      <c r="C35" s="12">
        <v>45403</v>
      </c>
      <c r="D35">
        <v>31.4</v>
      </c>
      <c r="E35">
        <v>120.216667</v>
      </c>
      <c r="F35">
        <v>6</v>
      </c>
      <c r="G35" t="s">
        <v>31</v>
      </c>
      <c r="H35" t="s">
        <v>30</v>
      </c>
      <c r="I35">
        <v>19.844000000000001</v>
      </c>
      <c r="J35">
        <v>19.844000000000001</v>
      </c>
      <c r="K35">
        <v>757.7</v>
      </c>
      <c r="L35">
        <v>101.7</v>
      </c>
      <c r="M35">
        <v>9.26</v>
      </c>
      <c r="N35">
        <v>395.7</v>
      </c>
      <c r="O35">
        <v>356.7</v>
      </c>
      <c r="P35">
        <v>5.36</v>
      </c>
      <c r="Q35">
        <v>1.1499999999999999</v>
      </c>
      <c r="R35">
        <v>1.36</v>
      </c>
      <c r="S35">
        <v>8249</v>
      </c>
      <c r="T35">
        <v>32.18</v>
      </c>
      <c r="AE35">
        <v>2.5999999999999999E-2</v>
      </c>
      <c r="AF35">
        <v>1E-3</v>
      </c>
      <c r="AG35">
        <v>9.0999999999999998E-2</v>
      </c>
      <c r="AH35">
        <v>9.1999999999999998E-2</v>
      </c>
      <c r="AI35">
        <v>4.0000000000000001E-3</v>
      </c>
      <c r="AJ35">
        <v>0.22700000000000001</v>
      </c>
      <c r="AK35">
        <v>1.5699999999999999E-2</v>
      </c>
      <c r="AL35">
        <v>0.49740000000000001</v>
      </c>
      <c r="AM35">
        <v>2.0299999999999999E-2</v>
      </c>
      <c r="AN35">
        <v>0.29504080351537998</v>
      </c>
      <c r="AO35" s="5">
        <v>5.3093524733844202</v>
      </c>
      <c r="AP35">
        <v>1.26759294010832E-2</v>
      </c>
      <c r="AQ35">
        <v>5.2966765439833399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1.8899446281821799E-2</v>
      </c>
      <c r="AY35">
        <v>5.1536919955375202</v>
      </c>
      <c r="AZ35">
        <v>0</v>
      </c>
      <c r="BA35">
        <v>1.72805096463573E-2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 s="3">
        <v>346.33136999999999</v>
      </c>
      <c r="BI35">
        <v>5.093108</v>
      </c>
      <c r="BJ35">
        <v>341.23826200000002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264.84163599999999</v>
      </c>
      <c r="BQ35">
        <v>5.093108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 s="5">
        <v>11</v>
      </c>
      <c r="CA35">
        <v>1.7051542358378999</v>
      </c>
      <c r="CB35" s="5">
        <v>1.4865872101573201</v>
      </c>
      <c r="CC35" s="5">
        <v>0.61995501931260499</v>
      </c>
      <c r="CD35" s="5">
        <v>0.61982067243609096</v>
      </c>
      <c r="CE35">
        <v>-4.8659099999999997E-2</v>
      </c>
      <c r="CF35">
        <v>1.47058812489322E-2</v>
      </c>
      <c r="CG35">
        <v>0.98529411875106798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1.47058812489322E-2</v>
      </c>
      <c r="CN35">
        <v>0.76470588269263595</v>
      </c>
      <c r="CO35">
        <v>0</v>
      </c>
      <c r="CP35">
        <v>5.8823530770545002E-2</v>
      </c>
      <c r="CQ35">
        <v>0</v>
      </c>
      <c r="CR35">
        <v>0.60294117740474995</v>
      </c>
      <c r="CS35">
        <v>5.8823530770545002E-2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182</v>
      </c>
      <c r="B36" s="10" t="s">
        <v>148</v>
      </c>
      <c r="C36" s="12">
        <v>45403</v>
      </c>
      <c r="D36">
        <v>31.4</v>
      </c>
      <c r="E36">
        <v>120.216667</v>
      </c>
      <c r="F36">
        <v>6</v>
      </c>
      <c r="G36" t="s">
        <v>32</v>
      </c>
      <c r="H36" t="s">
        <v>39</v>
      </c>
      <c r="I36">
        <v>26.827999999999999</v>
      </c>
      <c r="J36">
        <v>26.827999999999999</v>
      </c>
      <c r="K36">
        <v>757.7</v>
      </c>
      <c r="L36">
        <v>155.4</v>
      </c>
      <c r="M36">
        <v>12.41</v>
      </c>
      <c r="N36">
        <v>417.4</v>
      </c>
      <c r="O36">
        <v>432</v>
      </c>
      <c r="P36">
        <v>1.98</v>
      </c>
      <c r="Q36">
        <v>1.54</v>
      </c>
      <c r="R36">
        <v>1.81</v>
      </c>
      <c r="S36">
        <v>1009.8</v>
      </c>
      <c r="T36">
        <v>20.87</v>
      </c>
      <c r="AE36">
        <v>3.1E-2</v>
      </c>
      <c r="AF36">
        <v>3.6999999999999998E-2</v>
      </c>
      <c r="AG36">
        <v>2.2389999999999999</v>
      </c>
      <c r="AH36">
        <v>2.2759999999999998</v>
      </c>
      <c r="AI36">
        <v>4.0000000000000001E-3</v>
      </c>
      <c r="AJ36">
        <v>2.7869999999999999</v>
      </c>
      <c r="AK36">
        <v>3.2600000000000004E-2</v>
      </c>
      <c r="AL36">
        <v>3.2059000000000002</v>
      </c>
      <c r="AM36">
        <v>3.3300000000000003E-2</v>
      </c>
      <c r="AN36">
        <v>0.35645933014354098</v>
      </c>
      <c r="AO36" s="5">
        <v>2.4729400916079398</v>
      </c>
      <c r="AP36">
        <v>0</v>
      </c>
      <c r="AQ36">
        <v>2.1364143740468502</v>
      </c>
      <c r="AR36">
        <v>0</v>
      </c>
      <c r="AS36">
        <v>0.15751043794335601</v>
      </c>
      <c r="AT36">
        <v>0.179015279617734</v>
      </c>
      <c r="AU36">
        <v>0</v>
      </c>
      <c r="AV36">
        <v>0</v>
      </c>
      <c r="AW36">
        <v>0.114016695976853</v>
      </c>
      <c r="AX36">
        <v>0.170095016536396</v>
      </c>
      <c r="AY36">
        <v>1.15905418346765</v>
      </c>
      <c r="AZ36">
        <v>0.15751043794335601</v>
      </c>
      <c r="BA36">
        <v>7.7762293408608102E-2</v>
      </c>
      <c r="BB36">
        <v>1.18803503818707E-2</v>
      </c>
      <c r="BC36">
        <v>0</v>
      </c>
      <c r="BD36">
        <v>0</v>
      </c>
      <c r="BE36">
        <v>0</v>
      </c>
      <c r="BF36">
        <v>0</v>
      </c>
      <c r="BG36">
        <v>0</v>
      </c>
      <c r="BH36" s="3">
        <v>514.40394800000001</v>
      </c>
      <c r="BI36">
        <v>0</v>
      </c>
      <c r="BJ36">
        <v>407.44867099999999</v>
      </c>
      <c r="BK36">
        <v>101.86216899999999</v>
      </c>
      <c r="BL36">
        <v>5.093108</v>
      </c>
      <c r="BM36">
        <v>0</v>
      </c>
      <c r="BN36">
        <v>0</v>
      </c>
      <c r="BO36">
        <v>0</v>
      </c>
      <c r="BP36">
        <v>61.1173</v>
      </c>
      <c r="BQ36">
        <v>45.837975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 s="5">
        <v>21</v>
      </c>
      <c r="CA36">
        <v>3.1976438056318401</v>
      </c>
      <c r="CB36" s="5">
        <v>2.6907148467852</v>
      </c>
      <c r="CC36" s="5">
        <v>0.883788804919175</v>
      </c>
      <c r="CD36" s="5">
        <v>0.91337577083286203</v>
      </c>
      <c r="CE36">
        <v>2.35298384291458</v>
      </c>
      <c r="CF36">
        <v>0</v>
      </c>
      <c r="CG36">
        <v>0.79207920659271402</v>
      </c>
      <c r="CH36">
        <v>9.9009893291098893E-3</v>
      </c>
      <c r="CI36">
        <v>0.19801980407817499</v>
      </c>
      <c r="CJ36">
        <v>0</v>
      </c>
      <c r="CK36">
        <v>0</v>
      </c>
      <c r="CL36">
        <v>0</v>
      </c>
      <c r="CM36">
        <v>8.9108909793981603E-2</v>
      </c>
      <c r="CN36">
        <v>0.118811879725309</v>
      </c>
      <c r="CO36">
        <v>0</v>
      </c>
      <c r="CP36">
        <v>0.178217821531961</v>
      </c>
      <c r="CQ36">
        <v>9.9009903011086503E-2</v>
      </c>
      <c r="CR36">
        <v>8.9108909793981603E-2</v>
      </c>
      <c r="CS36">
        <v>0.178217821531961</v>
      </c>
      <c r="CT36">
        <v>0</v>
      </c>
      <c r="CU36">
        <v>3.9603961204434601E-2</v>
      </c>
      <c r="CV36">
        <v>0</v>
      </c>
      <c r="CW36">
        <v>20.372433999999998</v>
      </c>
    </row>
    <row r="37" spans="1:101">
      <c r="A37" t="s">
        <v>183</v>
      </c>
      <c r="B37" s="10" t="s">
        <v>148</v>
      </c>
      <c r="C37" s="12">
        <v>45403</v>
      </c>
      <c r="D37">
        <v>31.4</v>
      </c>
      <c r="E37">
        <v>120.216667</v>
      </c>
      <c r="F37">
        <v>6</v>
      </c>
      <c r="G37" t="s">
        <v>33</v>
      </c>
      <c r="H37" t="s">
        <v>39</v>
      </c>
      <c r="I37">
        <v>26.46</v>
      </c>
      <c r="J37">
        <v>26.46</v>
      </c>
      <c r="K37">
        <v>757.6</v>
      </c>
      <c r="L37">
        <v>143.19999999999999</v>
      </c>
      <c r="M37">
        <v>11.51</v>
      </c>
      <c r="N37">
        <v>404.2</v>
      </c>
      <c r="O37">
        <v>415.5</v>
      </c>
      <c r="P37">
        <v>-0.33</v>
      </c>
      <c r="Q37">
        <v>0.09</v>
      </c>
      <c r="R37">
        <v>0.11</v>
      </c>
      <c r="S37">
        <v>619.29999999999995</v>
      </c>
      <c r="T37">
        <v>0.55000000000000004</v>
      </c>
      <c r="AE37">
        <v>2.1000000000000001E-2</v>
      </c>
      <c r="AF37">
        <v>3.2000000000000001E-2</v>
      </c>
      <c r="AG37">
        <v>1.446</v>
      </c>
      <c r="AH37">
        <v>1.478</v>
      </c>
      <c r="AI37">
        <v>1E-3</v>
      </c>
      <c r="AJ37">
        <v>1.7390000000000001</v>
      </c>
      <c r="AK37">
        <v>2.47E-2</v>
      </c>
      <c r="AL37">
        <v>2.8948</v>
      </c>
      <c r="AM37">
        <v>3.1899999999999998E-2</v>
      </c>
      <c r="AN37">
        <v>0.34070531978481799</v>
      </c>
      <c r="AO37" s="5">
        <v>0.10910321773249899</v>
      </c>
      <c r="AP37">
        <v>0</v>
      </c>
      <c r="AQ37">
        <v>0.10910321773249899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0.10478309032091</v>
      </c>
      <c r="AZ37">
        <v>0</v>
      </c>
      <c r="BA37">
        <v>4.3201274115893399E-3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 s="3">
        <v>10.186216</v>
      </c>
      <c r="BI37">
        <v>0</v>
      </c>
      <c r="BJ37">
        <v>10.186216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5.093108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 s="5">
        <v>3</v>
      </c>
      <c r="CA37">
        <v>0.71834951605291097</v>
      </c>
      <c r="CB37" s="5">
        <v>1.09552703412846</v>
      </c>
      <c r="CC37" s="5">
        <v>0.99719168029388205</v>
      </c>
      <c r="CD37" s="5">
        <v>0.66457385947320102</v>
      </c>
      <c r="CE37">
        <v>2.35298384291458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0.5</v>
      </c>
      <c r="CO37">
        <v>0</v>
      </c>
      <c r="CP37">
        <v>0.5</v>
      </c>
      <c r="CQ37">
        <v>0</v>
      </c>
      <c r="CR37">
        <v>0.5</v>
      </c>
      <c r="CS37">
        <v>0.5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184</v>
      </c>
      <c r="B38" s="10" t="s">
        <v>148</v>
      </c>
      <c r="C38" s="12">
        <v>45403</v>
      </c>
      <c r="D38">
        <v>31.4</v>
      </c>
      <c r="E38">
        <v>120.216667</v>
      </c>
      <c r="F38">
        <v>6</v>
      </c>
      <c r="G38" t="s">
        <v>34</v>
      </c>
      <c r="H38" t="s">
        <v>40</v>
      </c>
      <c r="I38">
        <v>19.837</v>
      </c>
      <c r="J38">
        <v>19.837</v>
      </c>
      <c r="K38">
        <v>757.6</v>
      </c>
      <c r="L38">
        <v>106.6</v>
      </c>
      <c r="M38">
        <v>9.7200000000000006</v>
      </c>
      <c r="N38">
        <v>404.9</v>
      </c>
      <c r="O38">
        <v>365</v>
      </c>
      <c r="P38">
        <v>9.89</v>
      </c>
      <c r="Q38">
        <v>10.130000000000001</v>
      </c>
      <c r="R38">
        <v>11.86</v>
      </c>
      <c r="S38">
        <v>72635.199999999997</v>
      </c>
      <c r="T38">
        <v>181.82</v>
      </c>
      <c r="AE38">
        <v>1.7999999999999999E-2</v>
      </c>
      <c r="AF38">
        <v>5.2999999999999999E-2</v>
      </c>
      <c r="AG38">
        <v>1.494</v>
      </c>
      <c r="AH38">
        <v>1.5469999999999999</v>
      </c>
      <c r="AI38">
        <v>1E-3</v>
      </c>
      <c r="AJ38">
        <v>1.9319999999999999</v>
      </c>
      <c r="AK38">
        <v>2.8100000000000003E-2</v>
      </c>
      <c r="AL38">
        <v>2.5566</v>
      </c>
      <c r="AM38">
        <v>3.2899999999999999E-2</v>
      </c>
      <c r="AN38">
        <v>0.41954022988505701</v>
      </c>
      <c r="AO38" s="5">
        <v>9.5151023306763705</v>
      </c>
      <c r="AP38">
        <v>0.41473641128413402</v>
      </c>
      <c r="AQ38">
        <v>8.5179224355402194</v>
      </c>
      <c r="AR38">
        <v>0</v>
      </c>
      <c r="AS38">
        <v>0.53253308343547401</v>
      </c>
      <c r="AT38">
        <v>4.9910400416533302E-2</v>
      </c>
      <c r="AU38">
        <v>0</v>
      </c>
      <c r="AV38">
        <v>0</v>
      </c>
      <c r="AW38">
        <v>0</v>
      </c>
      <c r="AX38">
        <v>7.5597785127287001E-2</v>
      </c>
      <c r="AY38">
        <v>8.2553034699802303</v>
      </c>
      <c r="AZ38">
        <v>0.53253308343547401</v>
      </c>
      <c r="BA38">
        <v>6.4801911173840002E-2</v>
      </c>
      <c r="BB38">
        <v>0</v>
      </c>
      <c r="BC38">
        <v>0.41473641128413402</v>
      </c>
      <c r="BD38">
        <v>0</v>
      </c>
      <c r="BE38">
        <v>0</v>
      </c>
      <c r="BF38">
        <v>0</v>
      </c>
      <c r="BG38">
        <v>0</v>
      </c>
      <c r="BH38" s="3">
        <v>1456.6289979999999</v>
      </c>
      <c r="BI38">
        <v>10.186216</v>
      </c>
      <c r="BJ38">
        <v>600.98679000000004</v>
      </c>
      <c r="BK38">
        <v>825.08355900000004</v>
      </c>
      <c r="BL38">
        <v>20.372433000000001</v>
      </c>
      <c r="BM38">
        <v>0</v>
      </c>
      <c r="BN38">
        <v>0</v>
      </c>
      <c r="BO38">
        <v>0</v>
      </c>
      <c r="BP38">
        <v>448.19353799999999</v>
      </c>
      <c r="BQ38">
        <v>20.372433999999998</v>
      </c>
      <c r="BR38">
        <v>0</v>
      </c>
      <c r="BS38">
        <v>315.77271999999999</v>
      </c>
      <c r="BT38">
        <v>0</v>
      </c>
      <c r="BU38">
        <v>0</v>
      </c>
      <c r="BV38">
        <v>0</v>
      </c>
      <c r="BW38">
        <v>183.351902</v>
      </c>
      <c r="BX38">
        <v>20.372433999999998</v>
      </c>
      <c r="BY38">
        <v>325.95893699999999</v>
      </c>
      <c r="BZ38" s="5">
        <v>18</v>
      </c>
      <c r="CA38">
        <v>2.3326044880625298</v>
      </c>
      <c r="CB38" s="5">
        <v>2.0632123933637101</v>
      </c>
      <c r="CC38" s="5">
        <v>0.71382249972767498</v>
      </c>
      <c r="CD38" s="5">
        <v>0.83616848826235401</v>
      </c>
      <c r="CE38">
        <v>-0.16063173713596099</v>
      </c>
      <c r="CF38">
        <v>6.99300646491729E-3</v>
      </c>
      <c r="CG38">
        <v>0.412587413009884</v>
      </c>
      <c r="CH38">
        <v>1.39860136163512E-2</v>
      </c>
      <c r="CI38">
        <v>0.56643356690884705</v>
      </c>
      <c r="CJ38">
        <v>0</v>
      </c>
      <c r="CK38">
        <v>0</v>
      </c>
      <c r="CL38">
        <v>0</v>
      </c>
      <c r="CM38">
        <v>1.39860143028678E-2</v>
      </c>
      <c r="CN38">
        <v>0.307692307797926</v>
      </c>
      <c r="CO38">
        <v>0.21678321688883501</v>
      </c>
      <c r="CP38">
        <v>5.24475526059794E-2</v>
      </c>
      <c r="CQ38">
        <v>0</v>
      </c>
      <c r="CR38">
        <v>0.206293706504942</v>
      </c>
      <c r="CS38">
        <v>5.24475526059794E-2</v>
      </c>
      <c r="CT38">
        <v>0.34265734286857902</v>
      </c>
      <c r="CU38">
        <v>0.56643356690884705</v>
      </c>
      <c r="CV38">
        <v>499.12462199999999</v>
      </c>
      <c r="CW38">
        <v>825.08355900000004</v>
      </c>
    </row>
    <row r="39" spans="1:101">
      <c r="A39" t="s">
        <v>185</v>
      </c>
      <c r="B39" s="10" t="s">
        <v>148</v>
      </c>
      <c r="C39" s="12">
        <v>45403</v>
      </c>
      <c r="D39">
        <v>31.4</v>
      </c>
      <c r="E39">
        <v>120.216667</v>
      </c>
      <c r="F39">
        <v>6</v>
      </c>
      <c r="G39" t="s">
        <v>35</v>
      </c>
      <c r="H39" t="s">
        <v>40</v>
      </c>
      <c r="I39">
        <v>19.768000000000001</v>
      </c>
      <c r="J39">
        <v>19.768000000000001</v>
      </c>
      <c r="K39">
        <v>757.7</v>
      </c>
      <c r="L39">
        <v>105.9</v>
      </c>
      <c r="M39">
        <v>9.67</v>
      </c>
      <c r="N39">
        <v>408.9</v>
      </c>
      <c r="O39">
        <v>368</v>
      </c>
      <c r="P39">
        <v>13.65</v>
      </c>
      <c r="Q39">
        <v>5.86</v>
      </c>
      <c r="R39">
        <v>6.86</v>
      </c>
      <c r="S39">
        <v>42001.599999999999</v>
      </c>
      <c r="T39">
        <v>159.31</v>
      </c>
      <c r="AE39">
        <v>7.0000000000000001E-3</v>
      </c>
      <c r="AF39">
        <v>4.8000000000000001E-2</v>
      </c>
      <c r="AG39">
        <v>1.71</v>
      </c>
      <c r="AH39">
        <v>1.758</v>
      </c>
      <c r="AI39">
        <v>1E-3</v>
      </c>
      <c r="AJ39">
        <v>2.1</v>
      </c>
      <c r="AK39">
        <v>2.9199999999999997E-2</v>
      </c>
      <c r="AL39">
        <v>2.8917000000000002</v>
      </c>
      <c r="AM39">
        <v>3.85E-2</v>
      </c>
      <c r="AN39">
        <v>0.46892138939670902</v>
      </c>
      <c r="AO39" s="5">
        <v>11.2900626335352</v>
      </c>
      <c r="AP39">
        <v>1.26759294010832E-2</v>
      </c>
      <c r="AQ39">
        <v>11.1454099784702</v>
      </c>
      <c r="AR39">
        <v>0</v>
      </c>
      <c r="AS39">
        <v>0</v>
      </c>
      <c r="AT39">
        <v>0.13197672566399199</v>
      </c>
      <c r="AU39">
        <v>0</v>
      </c>
      <c r="AV39">
        <v>0</v>
      </c>
      <c r="AW39">
        <v>0.11559674257646201</v>
      </c>
      <c r="AX39">
        <v>9.4497231409108803E-2</v>
      </c>
      <c r="AY39">
        <v>10.2418220574862</v>
      </c>
      <c r="AZ39">
        <v>0</v>
      </c>
      <c r="BA39">
        <v>8.6402548231787196E-3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 s="3">
        <v>1033.901001</v>
      </c>
      <c r="BI39">
        <v>5.093108</v>
      </c>
      <c r="BJ39">
        <v>886.20085800000004</v>
      </c>
      <c r="BK39">
        <v>142.607035</v>
      </c>
      <c r="BL39">
        <v>0</v>
      </c>
      <c r="BM39">
        <v>0</v>
      </c>
      <c r="BN39">
        <v>0</v>
      </c>
      <c r="BO39">
        <v>0</v>
      </c>
      <c r="BP39">
        <v>529.68327199999999</v>
      </c>
      <c r="BQ39">
        <v>25.465541999999999</v>
      </c>
      <c r="BR39">
        <v>0</v>
      </c>
      <c r="BS39">
        <v>101.862168</v>
      </c>
      <c r="BT39">
        <v>0</v>
      </c>
      <c r="BU39">
        <v>0</v>
      </c>
      <c r="BV39">
        <v>0</v>
      </c>
      <c r="BW39">
        <v>0</v>
      </c>
      <c r="BX39">
        <v>122.234601</v>
      </c>
      <c r="BY39">
        <v>0</v>
      </c>
      <c r="BZ39" s="5">
        <v>18</v>
      </c>
      <c r="CA39">
        <v>2.44714145795571</v>
      </c>
      <c r="CB39" s="5">
        <v>2.0907949846935199</v>
      </c>
      <c r="CC39" s="5">
        <v>0.723365421413944</v>
      </c>
      <c r="CD39" s="5">
        <v>0.79859310490481195</v>
      </c>
      <c r="CE39">
        <v>-0.16063173713596099</v>
      </c>
      <c r="CF39">
        <v>4.9261080075112497E-3</v>
      </c>
      <c r="CG39">
        <v>0.85714285714285698</v>
      </c>
      <c r="CH39">
        <v>0</v>
      </c>
      <c r="CI39">
        <v>0.13793103484963201</v>
      </c>
      <c r="CJ39">
        <v>0</v>
      </c>
      <c r="CK39">
        <v>0</v>
      </c>
      <c r="CL39">
        <v>0</v>
      </c>
      <c r="CM39">
        <v>2.46305419719774E-2</v>
      </c>
      <c r="CN39">
        <v>0.51231527146959399</v>
      </c>
      <c r="CO39">
        <v>9.8522167887909795E-2</v>
      </c>
      <c r="CP39">
        <v>9.8522169822331009E-3</v>
      </c>
      <c r="CQ39">
        <v>7.88177339234436E-2</v>
      </c>
      <c r="CR39">
        <v>0.39901477859194001</v>
      </c>
      <c r="CS39">
        <v>9.8522169822331009E-3</v>
      </c>
      <c r="CT39">
        <v>9.8522167887909795E-2</v>
      </c>
      <c r="CU39">
        <v>9.8522167887909795E-2</v>
      </c>
      <c r="CV39">
        <v>101.862168</v>
      </c>
      <c r="CW39">
        <v>101.862168</v>
      </c>
    </row>
    <row r="40" spans="1:101">
      <c r="A40" t="s">
        <v>186</v>
      </c>
      <c r="B40" s="10" t="s">
        <v>148</v>
      </c>
      <c r="C40" s="12">
        <v>45403</v>
      </c>
      <c r="D40">
        <v>31.4</v>
      </c>
      <c r="E40">
        <v>120.216667</v>
      </c>
      <c r="F40">
        <v>6</v>
      </c>
      <c r="G40" t="s">
        <v>36</v>
      </c>
      <c r="H40" t="s">
        <v>41</v>
      </c>
      <c r="I40">
        <v>26.873999999999999</v>
      </c>
      <c r="J40">
        <v>26.873999999999999</v>
      </c>
      <c r="K40">
        <v>757.8</v>
      </c>
      <c r="L40">
        <v>109.1</v>
      </c>
      <c r="M40">
        <v>8.6999999999999993</v>
      </c>
      <c r="N40">
        <v>390.1</v>
      </c>
      <c r="O40">
        <v>404.1</v>
      </c>
      <c r="P40">
        <v>9.75</v>
      </c>
      <c r="Q40">
        <v>3.07</v>
      </c>
      <c r="R40">
        <v>3.6</v>
      </c>
      <c r="S40">
        <v>22018.400000000001</v>
      </c>
      <c r="T40">
        <v>58.53</v>
      </c>
      <c r="AE40">
        <v>3.5000000000000003E-2</v>
      </c>
      <c r="AF40">
        <v>3.1E-2</v>
      </c>
      <c r="AG40">
        <v>1.1679999999999999</v>
      </c>
      <c r="AH40">
        <v>1.1990000000000001</v>
      </c>
      <c r="AI40">
        <v>6.0000000000000001E-3</v>
      </c>
      <c r="AJ40">
        <v>1.534</v>
      </c>
      <c r="AK40">
        <v>3.1399999999999997E-2</v>
      </c>
      <c r="AL40">
        <v>2.6785000000000001</v>
      </c>
      <c r="AM40">
        <v>4.41E-2</v>
      </c>
      <c r="AN40">
        <v>0.49188372970932398</v>
      </c>
      <c r="AO40" s="5">
        <v>3.2806409443240301</v>
      </c>
      <c r="AP40">
        <v>2.5351858802166401E-2</v>
      </c>
      <c r="AQ40">
        <v>3.2552890855218699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5.70083479884268E-2</v>
      </c>
      <c r="AX40">
        <v>1.8899446281821799E-2</v>
      </c>
      <c r="AY40">
        <v>2.5604555143715499</v>
      </c>
      <c r="AZ40">
        <v>0</v>
      </c>
      <c r="BA40">
        <v>8.6402548231787196E-2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 s="3">
        <v>427.82110499999999</v>
      </c>
      <c r="BI40">
        <v>10.186216999999999</v>
      </c>
      <c r="BJ40">
        <v>417.63488799999999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132.420818</v>
      </c>
      <c r="BQ40">
        <v>5.093108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 s="5">
        <v>14</v>
      </c>
      <c r="CA40">
        <v>2.1407520606677899</v>
      </c>
      <c r="CB40" s="5">
        <v>2.1598130365616002</v>
      </c>
      <c r="CC40" s="5">
        <v>0.81840322766935802</v>
      </c>
      <c r="CD40" s="5">
        <v>0.84984942314049705</v>
      </c>
      <c r="CE40">
        <v>3.6388080769090003E-2</v>
      </c>
      <c r="CF40">
        <v>2.38095243104007E-2</v>
      </c>
      <c r="CG40">
        <v>0.97619047568959905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1.19047609864876E-2</v>
      </c>
      <c r="CN40">
        <v>0.30952380902293303</v>
      </c>
      <c r="CO40">
        <v>0</v>
      </c>
      <c r="CP40">
        <v>0.238095238429156</v>
      </c>
      <c r="CQ40">
        <v>0.19047618980835501</v>
      </c>
      <c r="CR40">
        <v>0.22619047510524301</v>
      </c>
      <c r="CS40">
        <v>0.238095238429156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187</v>
      </c>
      <c r="B41" s="10" t="s">
        <v>148</v>
      </c>
      <c r="C41" s="12">
        <v>45403</v>
      </c>
      <c r="D41">
        <v>31.4</v>
      </c>
      <c r="E41">
        <v>120.216667</v>
      </c>
      <c r="F41">
        <v>6</v>
      </c>
      <c r="G41" t="s">
        <v>37</v>
      </c>
      <c r="H41" t="s">
        <v>41</v>
      </c>
      <c r="I41">
        <v>27.498999999999999</v>
      </c>
      <c r="J41">
        <v>27.498999999999999</v>
      </c>
      <c r="K41">
        <v>757.6</v>
      </c>
      <c r="L41">
        <v>96.7</v>
      </c>
      <c r="M41">
        <v>7.63</v>
      </c>
      <c r="N41">
        <v>415.7</v>
      </c>
      <c r="O41">
        <v>435.5</v>
      </c>
      <c r="P41">
        <v>31.74</v>
      </c>
      <c r="Q41">
        <v>0.99</v>
      </c>
      <c r="R41">
        <v>1.18</v>
      </c>
      <c r="S41">
        <v>7122.8</v>
      </c>
      <c r="T41">
        <v>16.02</v>
      </c>
      <c r="AE41">
        <v>0.115</v>
      </c>
      <c r="AF41">
        <v>0.03</v>
      </c>
      <c r="AG41">
        <v>1.323</v>
      </c>
      <c r="AH41">
        <v>1.353</v>
      </c>
      <c r="AI41">
        <v>6.0000000000000001E-3</v>
      </c>
      <c r="AJ41">
        <v>1.7509999999999999</v>
      </c>
      <c r="AK41">
        <v>1.6800000000000002E-2</v>
      </c>
      <c r="AL41">
        <v>3.5840999999999998</v>
      </c>
      <c r="AM41">
        <v>3.6600000000000001E-2</v>
      </c>
      <c r="AN41">
        <v>0.51495862507956702</v>
      </c>
      <c r="AO41" s="5">
        <v>1.18940418806828</v>
      </c>
      <c r="AP41">
        <v>0.36298362091890102</v>
      </c>
      <c r="AQ41">
        <v>0.63449157333990402</v>
      </c>
      <c r="AR41">
        <v>0</v>
      </c>
      <c r="AS41">
        <v>0</v>
      </c>
      <c r="AT41">
        <v>1.28437121272019E-2</v>
      </c>
      <c r="AU41">
        <v>0.179085281682273</v>
      </c>
      <c r="AV41">
        <v>0</v>
      </c>
      <c r="AW41">
        <v>0</v>
      </c>
      <c r="AX41">
        <v>3.7798892563643702E-2</v>
      </c>
      <c r="AY41">
        <v>0.523915451604549</v>
      </c>
      <c r="AZ41">
        <v>0</v>
      </c>
      <c r="BA41">
        <v>8.6402548231787196E-3</v>
      </c>
      <c r="BB41">
        <v>0</v>
      </c>
      <c r="BC41">
        <v>0</v>
      </c>
      <c r="BD41">
        <v>0</v>
      </c>
      <c r="BE41">
        <v>0</v>
      </c>
      <c r="BF41">
        <v>0.35030769151781799</v>
      </c>
      <c r="BG41">
        <v>0</v>
      </c>
      <c r="BH41" s="3">
        <v>376.89001999999999</v>
      </c>
      <c r="BI41">
        <v>25.465541000000002</v>
      </c>
      <c r="BJ41">
        <v>96.769059999999996</v>
      </c>
      <c r="BK41">
        <v>249.56231099999999</v>
      </c>
      <c r="BL41">
        <v>0</v>
      </c>
      <c r="BM41">
        <v>0</v>
      </c>
      <c r="BN41">
        <v>5.093108</v>
      </c>
      <c r="BO41">
        <v>0</v>
      </c>
      <c r="BP41">
        <v>25.465541999999999</v>
      </c>
      <c r="BQ41">
        <v>10.186216999999999</v>
      </c>
      <c r="BR41">
        <v>234.28298599999999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 s="5">
        <v>13</v>
      </c>
      <c r="CA41">
        <v>2.01757041754749</v>
      </c>
      <c r="CB41" s="5">
        <v>1.54805651470452</v>
      </c>
      <c r="CC41" s="5">
        <v>0.60354272110720797</v>
      </c>
      <c r="CD41" s="5">
        <v>0.605893509698199</v>
      </c>
      <c r="CE41">
        <v>3.6388080769090003E-2</v>
      </c>
      <c r="CF41">
        <v>6.7567565201116203E-2</v>
      </c>
      <c r="CG41">
        <v>0.25675675890807598</v>
      </c>
      <c r="CH41">
        <v>0</v>
      </c>
      <c r="CI41">
        <v>0.66216216338124301</v>
      </c>
      <c r="CJ41">
        <v>1.35135125095645E-2</v>
      </c>
      <c r="CK41">
        <v>0</v>
      </c>
      <c r="CL41">
        <v>0</v>
      </c>
      <c r="CM41">
        <v>2.70270276724228E-2</v>
      </c>
      <c r="CN41">
        <v>6.7567567854410093E-2</v>
      </c>
      <c r="CO41">
        <v>0</v>
      </c>
      <c r="CP41">
        <v>2.70270276724228E-2</v>
      </c>
      <c r="CQ41">
        <v>0.13513513570881999</v>
      </c>
      <c r="CR41">
        <v>4.05405401819873E-2</v>
      </c>
      <c r="CS41">
        <v>2.70270276724228E-2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188</v>
      </c>
      <c r="B42" s="10" t="s">
        <v>148</v>
      </c>
      <c r="C42" s="12">
        <v>45405</v>
      </c>
      <c r="D42">
        <v>31.4</v>
      </c>
      <c r="E42">
        <v>120.216667</v>
      </c>
      <c r="F42">
        <v>8</v>
      </c>
      <c r="G42" t="s">
        <v>26</v>
      </c>
      <c r="H42" t="s">
        <v>27</v>
      </c>
      <c r="I42">
        <v>19.719000000000001</v>
      </c>
      <c r="J42">
        <v>19.719000000000001</v>
      </c>
      <c r="K42">
        <v>757.3</v>
      </c>
      <c r="L42">
        <v>101.8</v>
      </c>
      <c r="M42">
        <v>9.3000000000000007</v>
      </c>
      <c r="N42">
        <v>404.1</v>
      </c>
      <c r="O42">
        <v>363.4</v>
      </c>
      <c r="P42">
        <v>7.07</v>
      </c>
      <c r="Q42">
        <v>0.48</v>
      </c>
      <c r="R42">
        <v>0.56999999999999995</v>
      </c>
      <c r="S42">
        <v>3407.2</v>
      </c>
      <c r="T42">
        <v>4.5999999999999996</v>
      </c>
      <c r="U42">
        <v>12.5236125</v>
      </c>
      <c r="V42">
        <v>2.6069999999999999E-2</v>
      </c>
      <c r="W42">
        <v>1.5E-3</v>
      </c>
      <c r="X42">
        <v>2.3390000000000001E-2</v>
      </c>
      <c r="Y42">
        <f t="shared" si="0"/>
        <v>2.4890000000000002E-2</v>
      </c>
      <c r="Z42">
        <v>2.9780000000000002E-3</v>
      </c>
      <c r="AA42">
        <v>0.495</v>
      </c>
      <c r="AB42">
        <v>8.7080000000000005E-3</v>
      </c>
      <c r="AC42">
        <v>0.7127</v>
      </c>
      <c r="AD42">
        <v>3.014E-2</v>
      </c>
      <c r="AE42">
        <v>3.0000000000000001E-3</v>
      </c>
      <c r="AF42">
        <v>1E-3</v>
      </c>
      <c r="AG42">
        <v>0.13900000000000001</v>
      </c>
      <c r="AH42">
        <v>0.14000000000000001</v>
      </c>
      <c r="AI42">
        <v>0</v>
      </c>
      <c r="AJ42">
        <v>0.29099999999999998</v>
      </c>
      <c r="AK42">
        <v>2.3599999999999999E-2</v>
      </c>
      <c r="AL42">
        <v>0.48430000000000001</v>
      </c>
      <c r="AM42">
        <v>2.3099999999999999E-2</v>
      </c>
      <c r="AN42">
        <v>0.33184656556645897</v>
      </c>
      <c r="AO42" s="5">
        <v>1.0371817002480199</v>
      </c>
      <c r="AP42">
        <v>0</v>
      </c>
      <c r="AQ42">
        <v>0.89603975983399498</v>
      </c>
      <c r="AR42">
        <v>0.141141940414024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3.4054337682713501E-2</v>
      </c>
      <c r="AY42">
        <v>0.84470491250492397</v>
      </c>
      <c r="AZ42">
        <v>0</v>
      </c>
      <c r="BA42">
        <v>1.72805096463573E-2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 s="3">
        <v>96.769058999999999</v>
      </c>
      <c r="BI42">
        <v>0</v>
      </c>
      <c r="BJ42">
        <v>76.396625</v>
      </c>
      <c r="BK42">
        <v>0</v>
      </c>
      <c r="BL42">
        <v>0</v>
      </c>
      <c r="BM42">
        <v>20.372433999999998</v>
      </c>
      <c r="BN42">
        <v>0</v>
      </c>
      <c r="BO42">
        <v>0</v>
      </c>
      <c r="BP42">
        <v>45.837975</v>
      </c>
      <c r="BQ42">
        <v>10.186216</v>
      </c>
      <c r="BR42">
        <v>0</v>
      </c>
      <c r="BS42">
        <v>0</v>
      </c>
      <c r="BT42">
        <v>0</v>
      </c>
      <c r="BU42">
        <v>20.372433999999998</v>
      </c>
      <c r="BV42">
        <v>0</v>
      </c>
      <c r="BW42">
        <v>0</v>
      </c>
      <c r="BX42">
        <v>0</v>
      </c>
      <c r="BY42">
        <v>0</v>
      </c>
      <c r="BZ42" s="5">
        <v>8</v>
      </c>
      <c r="CA42">
        <v>1.5048072713642699</v>
      </c>
      <c r="CB42" s="5">
        <v>1.90220774657667</v>
      </c>
      <c r="CC42" s="5">
        <v>0.91476856090891301</v>
      </c>
      <c r="CD42" s="5">
        <v>0.82638247287522504</v>
      </c>
      <c r="CE42">
        <v>3.3064284649773901E-2</v>
      </c>
      <c r="CF42">
        <v>0</v>
      </c>
      <c r="CG42">
        <v>0.78947367877164099</v>
      </c>
      <c r="CH42">
        <v>0</v>
      </c>
      <c r="CI42">
        <v>0</v>
      </c>
      <c r="CJ42">
        <v>0</v>
      </c>
      <c r="CK42">
        <v>0</v>
      </c>
      <c r="CL42">
        <v>0.21052632122835899</v>
      </c>
      <c r="CM42">
        <v>0.10526315028029801</v>
      </c>
      <c r="CN42">
        <v>0.47368420726298499</v>
      </c>
      <c r="CO42">
        <v>0</v>
      </c>
      <c r="CP42">
        <v>0.21052632122835899</v>
      </c>
      <c r="CQ42">
        <v>0</v>
      </c>
      <c r="CR42">
        <v>0.31578947150865599</v>
      </c>
      <c r="CS42">
        <v>0.21052632122835899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189</v>
      </c>
      <c r="B43" s="10" t="s">
        <v>148</v>
      </c>
      <c r="C43" s="12">
        <v>45405</v>
      </c>
      <c r="D43">
        <v>31.4</v>
      </c>
      <c r="E43">
        <v>120.216667</v>
      </c>
      <c r="F43">
        <v>8</v>
      </c>
      <c r="G43" t="s">
        <v>28</v>
      </c>
      <c r="H43" t="s">
        <v>38</v>
      </c>
      <c r="I43">
        <v>19.821999999999999</v>
      </c>
      <c r="J43">
        <v>19.821999999999999</v>
      </c>
      <c r="K43">
        <v>757.4</v>
      </c>
      <c r="L43">
        <v>135.19999999999999</v>
      </c>
      <c r="M43">
        <v>12.32</v>
      </c>
      <c r="N43">
        <v>404.6</v>
      </c>
      <c r="O43">
        <v>364.6</v>
      </c>
      <c r="P43">
        <v>3.78</v>
      </c>
      <c r="Q43">
        <v>1.42</v>
      </c>
      <c r="R43">
        <v>1.67</v>
      </c>
      <c r="S43">
        <v>10153.9</v>
      </c>
      <c r="T43">
        <v>15.86</v>
      </c>
      <c r="U43">
        <v>29.720939999999999</v>
      </c>
      <c r="V43">
        <v>2.6839999999999999E-2</v>
      </c>
      <c r="W43">
        <v>4.4699999999999997E-2</v>
      </c>
      <c r="X43">
        <v>2.0335000000000001</v>
      </c>
      <c r="Y43">
        <f t="shared" si="0"/>
        <v>2.0782000000000003</v>
      </c>
      <c r="Z43">
        <v>2.9450000000000001E-3</v>
      </c>
      <c r="AA43">
        <v>2.8062999999999998</v>
      </c>
      <c r="AB43">
        <v>2.6630000000000001E-2</v>
      </c>
      <c r="AC43">
        <v>3.1837</v>
      </c>
      <c r="AD43">
        <v>8.0769999999999995E-2</v>
      </c>
      <c r="AE43">
        <v>1.4999999999999999E-2</v>
      </c>
      <c r="AF43">
        <v>3.2000000000000001E-2</v>
      </c>
      <c r="AG43">
        <v>1.145</v>
      </c>
      <c r="AH43">
        <v>1.177</v>
      </c>
      <c r="AI43">
        <v>4.0000000000000001E-3</v>
      </c>
      <c r="AJ43">
        <v>1.9139999999999999</v>
      </c>
      <c r="AK43">
        <v>3.1399999999999997E-2</v>
      </c>
      <c r="AL43">
        <v>2.5851999999999999</v>
      </c>
      <c r="AM43">
        <v>3.4299999999999997E-2</v>
      </c>
      <c r="AN43">
        <v>0.30983050847457599</v>
      </c>
      <c r="AO43" s="5">
        <v>0.62433456907492602</v>
      </c>
      <c r="AP43">
        <v>5.3638919836596199E-3</v>
      </c>
      <c r="AQ43">
        <v>0.61897067709126696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0.37424437075550498</v>
      </c>
      <c r="AY43">
        <v>0</v>
      </c>
      <c r="AZ43">
        <v>0</v>
      </c>
      <c r="BA43">
        <v>4.3201274115893399E-3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 s="3">
        <v>259.74852600000003</v>
      </c>
      <c r="BI43">
        <v>5.093108</v>
      </c>
      <c r="BJ43">
        <v>254.655418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101.862167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 s="5">
        <v>11</v>
      </c>
      <c r="CA43">
        <v>1.78889333951132</v>
      </c>
      <c r="CB43" s="5">
        <v>1.80792437487804</v>
      </c>
      <c r="CC43" s="5">
        <v>0.75396302556957695</v>
      </c>
      <c r="CD43" s="5">
        <v>0.77874919298221901</v>
      </c>
      <c r="CE43">
        <v>3.3077279953103701E-2</v>
      </c>
      <c r="CF43">
        <v>1.9607841778474602E-2</v>
      </c>
      <c r="CG43">
        <v>0.98039215822152503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0.39215686251863502</v>
      </c>
      <c r="CN43">
        <v>0</v>
      </c>
      <c r="CO43">
        <v>0</v>
      </c>
      <c r="CP43">
        <v>1.9607841778474602E-2</v>
      </c>
      <c r="CQ43">
        <v>0.196078433184256</v>
      </c>
      <c r="CR43">
        <v>0</v>
      </c>
      <c r="CS43">
        <v>1.9607841778474602E-2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190</v>
      </c>
      <c r="B44" s="10" t="s">
        <v>148</v>
      </c>
      <c r="C44" s="12">
        <v>45405</v>
      </c>
      <c r="D44">
        <v>31.4</v>
      </c>
      <c r="E44">
        <v>120.216667</v>
      </c>
      <c r="F44">
        <v>8</v>
      </c>
      <c r="G44" t="s">
        <v>29</v>
      </c>
      <c r="H44" t="s">
        <v>30</v>
      </c>
      <c r="I44">
        <v>20.178000000000001</v>
      </c>
      <c r="J44">
        <v>20.178000000000001</v>
      </c>
      <c r="K44">
        <v>757.5</v>
      </c>
      <c r="L44">
        <v>96.9</v>
      </c>
      <c r="M44">
        <v>8.77</v>
      </c>
      <c r="N44">
        <v>377.3</v>
      </c>
      <c r="O44">
        <v>342.6</v>
      </c>
      <c r="P44">
        <v>7.79</v>
      </c>
      <c r="Q44">
        <v>0.94</v>
      </c>
      <c r="R44">
        <v>1.1100000000000001</v>
      </c>
      <c r="S44">
        <v>6721.9</v>
      </c>
      <c r="T44">
        <v>35.44</v>
      </c>
      <c r="U44">
        <v>43.53237</v>
      </c>
      <c r="V44">
        <v>0.1032</v>
      </c>
      <c r="W44">
        <v>1.5E-3</v>
      </c>
      <c r="X44">
        <v>4.4150000000000002E-2</v>
      </c>
      <c r="Y44">
        <f t="shared" si="0"/>
        <v>4.5650000000000003E-2</v>
      </c>
      <c r="Z44">
        <v>3.9269999999999999E-3</v>
      </c>
      <c r="AA44">
        <v>0.6673</v>
      </c>
      <c r="AB44">
        <v>1.695E-2</v>
      </c>
      <c r="AC44">
        <v>1.3266</v>
      </c>
      <c r="AD44">
        <v>5.4809999999999998E-2</v>
      </c>
      <c r="AE44">
        <v>1.2999999999999999E-2</v>
      </c>
      <c r="AF44">
        <v>1E-3</v>
      </c>
      <c r="AG44">
        <v>0.11899999999999999</v>
      </c>
      <c r="AH44">
        <v>0.12</v>
      </c>
      <c r="AI44">
        <v>1E-3</v>
      </c>
      <c r="AJ44">
        <v>0.28100000000000003</v>
      </c>
      <c r="AK44">
        <v>2.3599999999999999E-2</v>
      </c>
      <c r="AL44">
        <v>0.51419999999999999</v>
      </c>
      <c r="AM44">
        <v>2.7300000000000001E-2</v>
      </c>
      <c r="AN44">
        <v>0.45369064409967103</v>
      </c>
      <c r="AO44" s="5">
        <v>4.4595139639362698</v>
      </c>
      <c r="AP44">
        <v>0</v>
      </c>
      <c r="AQ44">
        <v>4.4595139639362698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3.07209060379686E-2</v>
      </c>
      <c r="AY44">
        <v>4.1117212651599004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 s="3">
        <v>285.21406999999999</v>
      </c>
      <c r="BI44">
        <v>0</v>
      </c>
      <c r="BJ44">
        <v>285.21406999999999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244.46920299999999</v>
      </c>
      <c r="BQ44">
        <v>5.093108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 s="5">
        <v>7</v>
      </c>
      <c r="CA44">
        <v>1.0561701275054201</v>
      </c>
      <c r="CB44" s="5">
        <v>1.2589374081311999</v>
      </c>
      <c r="CC44" s="5">
        <v>0.646965847185895</v>
      </c>
      <c r="CD44" s="5">
        <v>0.63538786941618197</v>
      </c>
      <c r="CE44">
        <v>-4.6115400000000001E-2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1.78571414797313E-2</v>
      </c>
      <c r="CN44">
        <v>0.85714285764373399</v>
      </c>
      <c r="CO44">
        <v>0</v>
      </c>
      <c r="CP44">
        <v>0</v>
      </c>
      <c r="CQ44">
        <v>7.1428572931202194E-2</v>
      </c>
      <c r="CR44">
        <v>0.35714285764373399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191</v>
      </c>
      <c r="B45" s="10" t="s">
        <v>148</v>
      </c>
      <c r="C45" s="12">
        <v>45405</v>
      </c>
      <c r="D45">
        <v>31.4</v>
      </c>
      <c r="E45">
        <v>120.216667</v>
      </c>
      <c r="F45">
        <v>8</v>
      </c>
      <c r="G45" t="s">
        <v>31</v>
      </c>
      <c r="H45" t="s">
        <v>30</v>
      </c>
      <c r="I45">
        <v>19.97</v>
      </c>
      <c r="J45">
        <v>19.97</v>
      </c>
      <c r="K45">
        <v>757.3</v>
      </c>
      <c r="L45">
        <v>98.7</v>
      </c>
      <c r="M45">
        <v>8.9700000000000006</v>
      </c>
      <c r="N45">
        <v>397.2</v>
      </c>
      <c r="O45">
        <v>359</v>
      </c>
      <c r="P45">
        <v>5.39</v>
      </c>
      <c r="Q45">
        <v>1.28</v>
      </c>
      <c r="R45">
        <v>1.51</v>
      </c>
      <c r="S45">
        <v>9149.1</v>
      </c>
      <c r="T45">
        <v>59.11</v>
      </c>
      <c r="U45">
        <v>49.935420000000001</v>
      </c>
      <c r="V45">
        <v>1.685E-2</v>
      </c>
      <c r="W45">
        <v>6.9999999999999999E-4</v>
      </c>
      <c r="X45">
        <v>4.6600000000000003E-2</v>
      </c>
      <c r="Y45">
        <f t="shared" si="0"/>
        <v>4.7300000000000002E-2</v>
      </c>
      <c r="Z45">
        <v>2.5699999999999998E-3</v>
      </c>
      <c r="AA45">
        <v>0.4748</v>
      </c>
      <c r="AB45">
        <v>1.184E-2</v>
      </c>
      <c r="AC45">
        <v>0.7681</v>
      </c>
      <c r="AD45">
        <v>3.8100000000000002E-2</v>
      </c>
      <c r="AE45">
        <v>1.4999999999999999E-2</v>
      </c>
      <c r="AF45">
        <v>1E-3</v>
      </c>
      <c r="AG45">
        <v>0.122</v>
      </c>
      <c r="AH45">
        <v>0.123</v>
      </c>
      <c r="AI45">
        <v>0</v>
      </c>
      <c r="AJ45">
        <v>0.247</v>
      </c>
      <c r="AK45">
        <v>2.1299999999999999E-2</v>
      </c>
      <c r="AL45">
        <v>0.4819</v>
      </c>
      <c r="AM45">
        <v>2.3099999999999999E-2</v>
      </c>
      <c r="AN45">
        <v>0.31446827932450899</v>
      </c>
      <c r="AO45" s="5">
        <v>5.4686557290667697</v>
      </c>
      <c r="AP45">
        <v>1.26759294010832E-2</v>
      </c>
      <c r="AQ45">
        <v>5.4559797996656796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1.8899446281821799E-2</v>
      </c>
      <c r="AY45">
        <v>5.1929131522695897</v>
      </c>
      <c r="AZ45">
        <v>0</v>
      </c>
      <c r="BA45">
        <v>1.2960382234768E-2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 s="3">
        <v>305.586502</v>
      </c>
      <c r="BI45">
        <v>5.093108</v>
      </c>
      <c r="BJ45">
        <v>300.49339400000002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269.93474400000002</v>
      </c>
      <c r="BQ45">
        <v>5.093108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 s="5">
        <v>7</v>
      </c>
      <c r="CA45">
        <v>1.04382767166122</v>
      </c>
      <c r="CB45" s="5">
        <v>1.0546017059189301</v>
      </c>
      <c r="CC45" s="5">
        <v>0.54195806853204698</v>
      </c>
      <c r="CD45" s="5">
        <v>0.49815649808615903</v>
      </c>
      <c r="CE45">
        <v>-4.6115400000000001E-2</v>
      </c>
      <c r="CF45">
        <v>1.6666665466788199E-2</v>
      </c>
      <c r="CG45">
        <v>0.98333333453321203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1.6666665466788199E-2</v>
      </c>
      <c r="CN45">
        <v>0.88333333518769097</v>
      </c>
      <c r="CO45">
        <v>0</v>
      </c>
      <c r="CP45">
        <v>4.9999999672760399E-2</v>
      </c>
      <c r="CQ45">
        <v>0</v>
      </c>
      <c r="CR45">
        <v>0.70000000196343704</v>
      </c>
      <c r="CS45">
        <v>4.9999999672760399E-2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192</v>
      </c>
      <c r="B46" s="10" t="s">
        <v>148</v>
      </c>
      <c r="C46" s="12">
        <v>45405</v>
      </c>
      <c r="D46">
        <v>31.4</v>
      </c>
      <c r="E46">
        <v>120.216667</v>
      </c>
      <c r="F46">
        <v>8</v>
      </c>
      <c r="G46" t="s">
        <v>32</v>
      </c>
      <c r="H46" t="s">
        <v>39</v>
      </c>
      <c r="I46">
        <v>27.870999999999999</v>
      </c>
      <c r="J46">
        <v>27.870999999999999</v>
      </c>
      <c r="K46">
        <v>757.5</v>
      </c>
      <c r="L46">
        <v>146</v>
      </c>
      <c r="M46">
        <v>11.36</v>
      </c>
      <c r="N46">
        <v>409.3</v>
      </c>
      <c r="O46">
        <v>431.8</v>
      </c>
      <c r="P46">
        <v>1.65</v>
      </c>
      <c r="Q46">
        <v>0.96</v>
      </c>
      <c r="R46">
        <v>1.1299999999999999</v>
      </c>
      <c r="S46">
        <v>6866.1</v>
      </c>
      <c r="T46">
        <v>16.91</v>
      </c>
      <c r="U46">
        <v>30.422160000000002</v>
      </c>
      <c r="V46">
        <v>0.1052</v>
      </c>
      <c r="W46">
        <v>3.2300000000000002E-2</v>
      </c>
      <c r="X46">
        <v>2.4272499999999999</v>
      </c>
      <c r="Y46">
        <f t="shared" si="0"/>
        <v>2.4595500000000001</v>
      </c>
      <c r="Z46">
        <v>5.4060000000000002E-3</v>
      </c>
      <c r="AA46">
        <v>3.1562999999999999</v>
      </c>
      <c r="AB46">
        <v>3.1539999999999999E-2</v>
      </c>
      <c r="AC46">
        <v>3.4855</v>
      </c>
      <c r="AD46">
        <v>7.8880000000000006E-2</v>
      </c>
      <c r="AE46">
        <v>2.1000000000000001E-2</v>
      </c>
      <c r="AF46">
        <v>2.3E-2</v>
      </c>
      <c r="AG46">
        <v>1.3069999999999999</v>
      </c>
      <c r="AH46">
        <v>1.33</v>
      </c>
      <c r="AI46">
        <v>1E-3</v>
      </c>
      <c r="AJ46">
        <v>1.784</v>
      </c>
      <c r="AK46">
        <v>4.0400000000000005E-2</v>
      </c>
      <c r="AL46">
        <v>3.6543999999999999</v>
      </c>
      <c r="AM46">
        <v>3.9399999999999998E-2</v>
      </c>
      <c r="AN46">
        <v>0.40587649402390402</v>
      </c>
      <c r="AO46" s="5">
        <v>1.6416200473806</v>
      </c>
      <c r="AP46">
        <v>0</v>
      </c>
      <c r="AQ46">
        <v>1.41922348833815</v>
      </c>
      <c r="AR46">
        <v>0</v>
      </c>
      <c r="AS46">
        <v>0</v>
      </c>
      <c r="AT46">
        <v>0.22239655904244299</v>
      </c>
      <c r="AU46">
        <v>0</v>
      </c>
      <c r="AV46">
        <v>0</v>
      </c>
      <c r="AW46">
        <v>0</v>
      </c>
      <c r="AX46">
        <v>0.106318691165256</v>
      </c>
      <c r="AY46">
        <v>0.70070066545194598</v>
      </c>
      <c r="AZ46">
        <v>0</v>
      </c>
      <c r="BA46">
        <v>4.7521401527482701E-2</v>
      </c>
      <c r="BB46">
        <v>1.7820525572806001E-2</v>
      </c>
      <c r="BC46">
        <v>0</v>
      </c>
      <c r="BD46">
        <v>0</v>
      </c>
      <c r="BE46">
        <v>0</v>
      </c>
      <c r="BF46">
        <v>0</v>
      </c>
      <c r="BG46">
        <v>0</v>
      </c>
      <c r="BH46" s="3">
        <v>392.16934500000002</v>
      </c>
      <c r="BI46">
        <v>0</v>
      </c>
      <c r="BJ46">
        <v>280.12096100000002</v>
      </c>
      <c r="BK46">
        <v>112.048384</v>
      </c>
      <c r="BL46">
        <v>0</v>
      </c>
      <c r="BM46">
        <v>0</v>
      </c>
      <c r="BN46">
        <v>0</v>
      </c>
      <c r="BO46">
        <v>0</v>
      </c>
      <c r="BP46">
        <v>35.651758000000001</v>
      </c>
      <c r="BQ46">
        <v>25.465541999999999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 s="5">
        <v>15</v>
      </c>
      <c r="CA46">
        <v>2.33649234106724</v>
      </c>
      <c r="CB46" s="5">
        <v>2.5041065010913699</v>
      </c>
      <c r="CC46" s="5">
        <v>0.92468983775565305</v>
      </c>
      <c r="CD46" s="5">
        <v>0.90840206903454601</v>
      </c>
      <c r="CE46">
        <v>2.8194280099512601</v>
      </c>
      <c r="CF46">
        <v>0</v>
      </c>
      <c r="CG46">
        <v>0.71428571501426297</v>
      </c>
      <c r="CH46">
        <v>0</v>
      </c>
      <c r="CI46">
        <v>0.28571428498573698</v>
      </c>
      <c r="CJ46">
        <v>0</v>
      </c>
      <c r="CK46">
        <v>0</v>
      </c>
      <c r="CL46">
        <v>0</v>
      </c>
      <c r="CM46">
        <v>6.4935065233107395E-2</v>
      </c>
      <c r="CN46">
        <v>9.0909089286415307E-2</v>
      </c>
      <c r="CO46">
        <v>0</v>
      </c>
      <c r="CP46">
        <v>0.14285714249286899</v>
      </c>
      <c r="CQ46">
        <v>7.7922079809680203E-2</v>
      </c>
      <c r="CR46">
        <v>7.7922077259761302E-2</v>
      </c>
      <c r="CS46">
        <v>0.14285714249286899</v>
      </c>
      <c r="CT46">
        <v>0</v>
      </c>
      <c r="CU46">
        <v>7.7922077259761302E-2</v>
      </c>
      <c r="CV46">
        <v>0</v>
      </c>
      <c r="CW46">
        <v>30.55865</v>
      </c>
    </row>
    <row r="47" spans="1:101">
      <c r="A47" t="s">
        <v>193</v>
      </c>
      <c r="B47" s="10" t="s">
        <v>148</v>
      </c>
      <c r="C47" s="12">
        <v>45405</v>
      </c>
      <c r="D47">
        <v>31.4</v>
      </c>
      <c r="E47">
        <v>120.216667</v>
      </c>
      <c r="F47">
        <v>8</v>
      </c>
      <c r="G47" t="s">
        <v>33</v>
      </c>
      <c r="H47" t="s">
        <v>39</v>
      </c>
      <c r="I47">
        <v>27.428000000000001</v>
      </c>
      <c r="J47">
        <v>27.428000000000001</v>
      </c>
      <c r="K47">
        <v>757.5</v>
      </c>
      <c r="L47">
        <v>122.5</v>
      </c>
      <c r="M47">
        <v>9.6300000000000008</v>
      </c>
      <c r="N47">
        <v>399.5</v>
      </c>
      <c r="O47">
        <v>418.1</v>
      </c>
      <c r="P47">
        <v>3.76</v>
      </c>
      <c r="Q47">
        <v>0.23</v>
      </c>
      <c r="R47">
        <v>0.28000000000000003</v>
      </c>
      <c r="S47">
        <v>1620</v>
      </c>
      <c r="T47">
        <v>0.62</v>
      </c>
      <c r="U47">
        <v>2.7983699999999998</v>
      </c>
      <c r="V47">
        <v>9.5600000000000004E-2</v>
      </c>
      <c r="W47">
        <v>3.9899999999999998E-2</v>
      </c>
      <c r="X47">
        <v>1.77525</v>
      </c>
      <c r="Y47">
        <f t="shared" si="0"/>
        <v>1.81515</v>
      </c>
      <c r="Z47">
        <v>5.8149999999999999E-3</v>
      </c>
      <c r="AA47">
        <v>2.5613000000000001</v>
      </c>
      <c r="AB47">
        <v>1.9120000000000002E-2</v>
      </c>
      <c r="AC47">
        <v>2.6968999999999999</v>
      </c>
      <c r="AD47">
        <v>3.1419999999999997E-2</v>
      </c>
      <c r="AE47">
        <v>0.02</v>
      </c>
      <c r="AF47">
        <v>2.8000000000000001E-2</v>
      </c>
      <c r="AG47">
        <v>1.1519999999999999</v>
      </c>
      <c r="AH47">
        <v>1.18</v>
      </c>
      <c r="AI47">
        <v>3.0000000000000001E-3</v>
      </c>
      <c r="AJ47">
        <v>1.411</v>
      </c>
      <c r="AK47">
        <v>3.1399999999999997E-2</v>
      </c>
      <c r="AL47">
        <v>2.9131</v>
      </c>
      <c r="AM47">
        <v>3.15E-2</v>
      </c>
      <c r="AN47">
        <v>0.14390842191332801</v>
      </c>
      <c r="AO47" s="5">
        <v>6.8519798601612295E-2</v>
      </c>
      <c r="AP47">
        <v>0</v>
      </c>
      <c r="AQ47">
        <v>6.8519798601612295E-2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6.8519798601612295E-2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 s="3">
        <v>15.279325</v>
      </c>
      <c r="BI47">
        <v>0</v>
      </c>
      <c r="BJ47">
        <v>15.279325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15.279325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s="5">
        <v>3</v>
      </c>
      <c r="CA47">
        <v>0.63541169164646305</v>
      </c>
      <c r="CB47" s="5">
        <v>1.0612029597491399</v>
      </c>
      <c r="CC47" s="5">
        <v>0.96594856137617002</v>
      </c>
      <c r="CD47" s="5">
        <v>0.64257404462994505</v>
      </c>
      <c r="CE47">
        <v>2.8194280099512601</v>
      </c>
      <c r="CF47">
        <v>0</v>
      </c>
      <c r="CG47">
        <v>1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194</v>
      </c>
      <c r="B48" s="10" t="s">
        <v>148</v>
      </c>
      <c r="C48" s="12">
        <v>45405</v>
      </c>
      <c r="D48">
        <v>31.4</v>
      </c>
      <c r="E48">
        <v>120.216667</v>
      </c>
      <c r="F48">
        <v>8</v>
      </c>
      <c r="G48" t="s">
        <v>34</v>
      </c>
      <c r="H48" t="s">
        <v>40</v>
      </c>
      <c r="I48">
        <v>19.898</v>
      </c>
      <c r="J48">
        <v>19.898</v>
      </c>
      <c r="K48">
        <v>757.4</v>
      </c>
      <c r="L48">
        <v>96.6</v>
      </c>
      <c r="M48">
        <v>8.7899999999999991</v>
      </c>
      <c r="N48">
        <v>406.5</v>
      </c>
      <c r="O48">
        <v>366.8</v>
      </c>
      <c r="P48">
        <v>12.48</v>
      </c>
      <c r="Q48">
        <v>10.76</v>
      </c>
      <c r="R48">
        <v>12.59</v>
      </c>
      <c r="S48">
        <v>77133.3</v>
      </c>
      <c r="T48">
        <v>229.91</v>
      </c>
      <c r="U48">
        <v>242.979984</v>
      </c>
      <c r="V48">
        <v>0.1123</v>
      </c>
      <c r="W48">
        <v>5.5899999999999998E-2</v>
      </c>
      <c r="X48">
        <v>1.61175</v>
      </c>
      <c r="Y48">
        <f t="shared" si="0"/>
        <v>1.6676500000000001</v>
      </c>
      <c r="Z48">
        <v>5.8809999999999999E-3</v>
      </c>
      <c r="AA48">
        <v>2.4352999999999998</v>
      </c>
      <c r="AB48">
        <v>2.2040000000000001E-2</v>
      </c>
      <c r="AC48">
        <v>3.5467</v>
      </c>
      <c r="AD48">
        <v>0.1128</v>
      </c>
      <c r="AE48">
        <v>0.02</v>
      </c>
      <c r="AF48">
        <v>3.3000000000000002E-2</v>
      </c>
      <c r="AG48">
        <v>0.86499999999999999</v>
      </c>
      <c r="AH48">
        <v>0.89800000000000002</v>
      </c>
      <c r="AI48">
        <v>3.0000000000000001E-3</v>
      </c>
      <c r="AJ48">
        <v>1.1439999999999999</v>
      </c>
      <c r="AK48">
        <v>2.9199999999999997E-2</v>
      </c>
      <c r="AL48">
        <v>2.5817000000000001</v>
      </c>
      <c r="AM48">
        <v>3.1899999999999998E-2</v>
      </c>
      <c r="AN48">
        <v>0.42615454961133997</v>
      </c>
      <c r="AO48" s="5">
        <v>12.374370056750401</v>
      </c>
      <c r="AP48">
        <v>1.26759294010832E-2</v>
      </c>
      <c r="AQ48">
        <v>11.1358527350716</v>
      </c>
      <c r="AR48">
        <v>0</v>
      </c>
      <c r="AS48">
        <v>1.10257306560349</v>
      </c>
      <c r="AT48">
        <v>0.12326832667420499</v>
      </c>
      <c r="AU48">
        <v>0</v>
      </c>
      <c r="AV48">
        <v>0</v>
      </c>
      <c r="AW48">
        <v>5.8588394588035601E-2</v>
      </c>
      <c r="AX48">
        <v>2.22328779265667E-2</v>
      </c>
      <c r="AY48">
        <v>10.5991525960763</v>
      </c>
      <c r="AZ48">
        <v>1.10257306560349</v>
      </c>
      <c r="BA48">
        <v>5.1841528939071999E-2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 s="3">
        <v>2062.7088960000001</v>
      </c>
      <c r="BI48">
        <v>5.093108</v>
      </c>
      <c r="BJ48">
        <v>906.57329200000004</v>
      </c>
      <c r="BK48">
        <v>1115.3907369999999</v>
      </c>
      <c r="BL48">
        <v>35.651758999999998</v>
      </c>
      <c r="BM48">
        <v>0</v>
      </c>
      <c r="BN48">
        <v>0</v>
      </c>
      <c r="BO48">
        <v>0</v>
      </c>
      <c r="BP48">
        <v>626.45233199999996</v>
      </c>
      <c r="BQ48">
        <v>10.186216</v>
      </c>
      <c r="BR48">
        <v>0</v>
      </c>
      <c r="BS48">
        <v>213.910552</v>
      </c>
      <c r="BT48">
        <v>0</v>
      </c>
      <c r="BU48">
        <v>0</v>
      </c>
      <c r="BV48">
        <v>0</v>
      </c>
      <c r="BW48">
        <v>901.48018500000001</v>
      </c>
      <c r="BX48">
        <v>162.979468</v>
      </c>
      <c r="BY48">
        <v>0</v>
      </c>
      <c r="BZ48" s="5">
        <v>18</v>
      </c>
      <c r="CA48">
        <v>2.22639962035006</v>
      </c>
      <c r="CB48" s="5">
        <v>1.8064654826418101</v>
      </c>
      <c r="CC48" s="5">
        <v>0.62499416474948399</v>
      </c>
      <c r="CD48" s="5">
        <v>0.75409847125269702</v>
      </c>
      <c r="CE48">
        <v>-0.16543315886861101</v>
      </c>
      <c r="CF48">
        <v>2.4691356157315902E-3</v>
      </c>
      <c r="CG48">
        <v>0.43950617256658198</v>
      </c>
      <c r="CH48">
        <v>1.7283950764519301E-2</v>
      </c>
      <c r="CI48">
        <v>0.54074074105316705</v>
      </c>
      <c r="CJ48">
        <v>0</v>
      </c>
      <c r="CK48">
        <v>0</v>
      </c>
      <c r="CL48">
        <v>0</v>
      </c>
      <c r="CM48">
        <v>4.9382712314631899E-3</v>
      </c>
      <c r="CN48">
        <v>0.30370370400535701</v>
      </c>
      <c r="CO48">
        <v>0.103703703617517</v>
      </c>
      <c r="CP48">
        <v>2.9629629812776101E-2</v>
      </c>
      <c r="CQ48">
        <v>4.9382717162625702E-3</v>
      </c>
      <c r="CR48">
        <v>0.14320987637801899</v>
      </c>
      <c r="CS48">
        <v>2.9629629812776101E-2</v>
      </c>
      <c r="CT48">
        <v>0.54074074105316705</v>
      </c>
      <c r="CU48">
        <v>0.54074074105316705</v>
      </c>
      <c r="CV48">
        <v>1115.3907369999999</v>
      </c>
      <c r="CW48">
        <v>1115.3907369999999</v>
      </c>
    </row>
    <row r="49" spans="1:101">
      <c r="A49" t="s">
        <v>195</v>
      </c>
      <c r="B49" s="10" t="s">
        <v>148</v>
      </c>
      <c r="C49" s="12">
        <v>45405</v>
      </c>
      <c r="D49">
        <v>31.4</v>
      </c>
      <c r="E49">
        <v>120.216667</v>
      </c>
      <c r="F49">
        <v>8</v>
      </c>
      <c r="G49" t="s">
        <v>35</v>
      </c>
      <c r="H49" t="s">
        <v>40</v>
      </c>
      <c r="I49">
        <v>19.870999999999999</v>
      </c>
      <c r="J49">
        <v>19.870999999999999</v>
      </c>
      <c r="K49">
        <v>757.4</v>
      </c>
      <c r="L49">
        <v>97</v>
      </c>
      <c r="M49">
        <v>8.84</v>
      </c>
      <c r="N49">
        <v>408.4</v>
      </c>
      <c r="O49">
        <v>368.4</v>
      </c>
      <c r="P49">
        <v>18.489999999999998</v>
      </c>
      <c r="Q49">
        <v>7.64</v>
      </c>
      <c r="R49">
        <v>8.9499999999999993</v>
      </c>
      <c r="S49">
        <v>54764.9</v>
      </c>
      <c r="T49">
        <v>180.12</v>
      </c>
      <c r="U49">
        <v>165.39864</v>
      </c>
      <c r="V49">
        <v>0.14860000000000001</v>
      </c>
      <c r="W49">
        <v>5.4699999999999999E-2</v>
      </c>
      <c r="X49">
        <v>1.9950000000000001</v>
      </c>
      <c r="Y49">
        <f t="shared" si="0"/>
        <v>2.0497000000000001</v>
      </c>
      <c r="Z49">
        <v>5.3509999999999999E-3</v>
      </c>
      <c r="AA49">
        <v>2.8479000000000001</v>
      </c>
      <c r="AB49">
        <v>2.1950000000000001E-2</v>
      </c>
      <c r="AC49">
        <v>3.8660000000000001</v>
      </c>
      <c r="AD49">
        <v>0.1187</v>
      </c>
      <c r="AE49">
        <v>0.03</v>
      </c>
      <c r="AF49">
        <v>0.05</v>
      </c>
      <c r="AG49">
        <v>1.5780000000000001</v>
      </c>
      <c r="AH49">
        <v>1.6279999999999999</v>
      </c>
      <c r="AI49">
        <v>4.0000000000000001E-3</v>
      </c>
      <c r="AJ49">
        <v>2.0299999999999998</v>
      </c>
      <c r="AK49">
        <v>3.2600000000000004E-2</v>
      </c>
      <c r="AL49">
        <v>3.0299</v>
      </c>
      <c r="AM49">
        <v>3.8899999999999997E-2</v>
      </c>
      <c r="AN49">
        <v>0.49575324094769802</v>
      </c>
      <c r="AO49" s="5">
        <v>11.793905012753999</v>
      </c>
      <c r="AP49">
        <v>6.3379647005415804E-2</v>
      </c>
      <c r="AQ49">
        <v>11.730525365748599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1.8899446281821799E-2</v>
      </c>
      <c r="AY49">
        <v>11.4810186045568</v>
      </c>
      <c r="AZ49">
        <v>0</v>
      </c>
      <c r="BA49">
        <v>8.6402548231787196E-3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 s="3">
        <v>977.87680999999998</v>
      </c>
      <c r="BI49">
        <v>25.465541999999999</v>
      </c>
      <c r="BJ49">
        <v>952.41126799999995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651.91787299999999</v>
      </c>
      <c r="BQ49">
        <v>5.093108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 s="5">
        <v>12</v>
      </c>
      <c r="CA49">
        <v>1.5956988297455901</v>
      </c>
      <c r="CB49" s="5">
        <v>1.7471357130062699</v>
      </c>
      <c r="CC49" s="5">
        <v>0.70309913378650601</v>
      </c>
      <c r="CD49" s="5">
        <v>0.75573642003722497</v>
      </c>
      <c r="CE49">
        <v>-0.16543315886861101</v>
      </c>
      <c r="CF49">
        <v>2.6041666741233E-2</v>
      </c>
      <c r="CG49">
        <v>0.97395833325876702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5.2083329391971198E-3</v>
      </c>
      <c r="CN49">
        <v>0.66666666632579197</v>
      </c>
      <c r="CO49">
        <v>0</v>
      </c>
      <c r="CP49">
        <v>1.0416666901017901E-2</v>
      </c>
      <c r="CQ49">
        <v>5.2083333482466E-2</v>
      </c>
      <c r="CR49">
        <v>0.40624999993608601</v>
      </c>
      <c r="CS49">
        <v>1.0416666901017901E-2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196</v>
      </c>
      <c r="B50" s="10" t="s">
        <v>148</v>
      </c>
      <c r="C50" s="12">
        <v>45405</v>
      </c>
      <c r="D50">
        <v>31.4</v>
      </c>
      <c r="E50">
        <v>120.216667</v>
      </c>
      <c r="F50">
        <v>8</v>
      </c>
      <c r="G50" t="s">
        <v>36</v>
      </c>
      <c r="H50" t="s">
        <v>41</v>
      </c>
      <c r="I50">
        <v>27.045000000000002</v>
      </c>
      <c r="J50">
        <v>27.045000000000002</v>
      </c>
      <c r="K50">
        <v>757.6</v>
      </c>
      <c r="L50">
        <v>98.5</v>
      </c>
      <c r="M50">
        <v>7.84</v>
      </c>
      <c r="N50">
        <v>394.3</v>
      </c>
      <c r="O50">
        <v>409.6</v>
      </c>
      <c r="P50">
        <v>11.48</v>
      </c>
      <c r="Q50">
        <v>1.76</v>
      </c>
      <c r="R50">
        <v>2.0699999999999998</v>
      </c>
      <c r="S50">
        <v>12619.6</v>
      </c>
      <c r="T50">
        <v>51.97</v>
      </c>
      <c r="U50">
        <v>75.804299999999998</v>
      </c>
      <c r="V50">
        <v>2.8119999999999999E-2</v>
      </c>
      <c r="W50">
        <v>4.2500000000000003E-2</v>
      </c>
      <c r="X50">
        <v>1.88</v>
      </c>
      <c r="Y50">
        <f t="shared" si="0"/>
        <v>1.9224999999999999</v>
      </c>
      <c r="Z50">
        <v>4.9100000000000003E-3</v>
      </c>
      <c r="AA50">
        <v>2.6110000000000002</v>
      </c>
      <c r="AB50">
        <v>2.0129999999999999E-2</v>
      </c>
      <c r="AC50">
        <v>2.9935</v>
      </c>
      <c r="AD50">
        <v>7.4499999999999997E-2</v>
      </c>
      <c r="AE50">
        <v>1.6E-2</v>
      </c>
      <c r="AF50">
        <v>2.9000000000000001E-2</v>
      </c>
      <c r="AG50">
        <v>1.0269999999999999</v>
      </c>
      <c r="AH50">
        <v>1.056</v>
      </c>
      <c r="AI50">
        <v>3.0000000000000001E-3</v>
      </c>
      <c r="AJ50">
        <v>1.296</v>
      </c>
      <c r="AK50">
        <v>2.8100000000000003E-2</v>
      </c>
      <c r="AL50">
        <v>2.5851999999999999</v>
      </c>
      <c r="AM50">
        <v>2.63E-2</v>
      </c>
      <c r="AN50">
        <v>0.57478097622027502</v>
      </c>
      <c r="AO50" s="5">
        <v>4.0537980098253197</v>
      </c>
      <c r="AP50">
        <v>3.3651117504099E-2</v>
      </c>
      <c r="AQ50">
        <v>3.9035034522083101</v>
      </c>
      <c r="AR50">
        <v>0</v>
      </c>
      <c r="AS50">
        <v>0</v>
      </c>
      <c r="AT50">
        <v>0.116643440112912</v>
      </c>
      <c r="AU50">
        <v>0</v>
      </c>
      <c r="AV50">
        <v>0</v>
      </c>
      <c r="AW50">
        <v>0.28662178654174197</v>
      </c>
      <c r="AX50">
        <v>0.147451015373643</v>
      </c>
      <c r="AY50">
        <v>2.1869844997576302</v>
      </c>
      <c r="AZ50">
        <v>0</v>
      </c>
      <c r="BA50">
        <v>0.116643440112912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 s="3">
        <v>977.87680799999998</v>
      </c>
      <c r="BI50">
        <v>15.279325</v>
      </c>
      <c r="BJ50">
        <v>932.03883299999995</v>
      </c>
      <c r="BK50">
        <v>30.55865</v>
      </c>
      <c r="BL50">
        <v>0</v>
      </c>
      <c r="BM50">
        <v>0</v>
      </c>
      <c r="BN50">
        <v>0</v>
      </c>
      <c r="BO50">
        <v>0</v>
      </c>
      <c r="BP50">
        <v>122.234601</v>
      </c>
      <c r="BQ50">
        <v>40.744866000000002</v>
      </c>
      <c r="BR50">
        <v>0</v>
      </c>
      <c r="BS50">
        <v>0</v>
      </c>
      <c r="BT50">
        <v>0</v>
      </c>
      <c r="BU50">
        <v>0</v>
      </c>
      <c r="BV50">
        <v>20.372433999999998</v>
      </c>
      <c r="BW50">
        <v>0</v>
      </c>
      <c r="BX50">
        <v>0</v>
      </c>
      <c r="BY50">
        <v>0</v>
      </c>
      <c r="BZ50" s="5">
        <v>19</v>
      </c>
      <c r="CA50">
        <v>2.6111435403521099</v>
      </c>
      <c r="CB50" s="5">
        <v>2.3674763562639201</v>
      </c>
      <c r="CC50" s="5">
        <v>0.80405006624866204</v>
      </c>
      <c r="CD50" s="5">
        <v>0.86345030466036599</v>
      </c>
      <c r="CE50">
        <v>6.1780162372060701E-2</v>
      </c>
      <c r="CF50">
        <v>1.5624999872172E-2</v>
      </c>
      <c r="CG50">
        <v>0.95312500038348402</v>
      </c>
      <c r="CH50">
        <v>0</v>
      </c>
      <c r="CI50">
        <v>3.1249999744344101E-2</v>
      </c>
      <c r="CJ50">
        <v>0</v>
      </c>
      <c r="CK50">
        <v>0</v>
      </c>
      <c r="CL50">
        <v>0</v>
      </c>
      <c r="CM50">
        <v>4.1666665644042998E-2</v>
      </c>
      <c r="CN50">
        <v>0.125</v>
      </c>
      <c r="CO50">
        <v>0</v>
      </c>
      <c r="CP50">
        <v>0.140624999872172</v>
      </c>
      <c r="CQ50">
        <v>0.43750000153393498</v>
      </c>
      <c r="CR50">
        <v>7.2916666411010703E-2</v>
      </c>
      <c r="CS50">
        <v>0.140624999872172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197</v>
      </c>
      <c r="B51" s="10" t="s">
        <v>148</v>
      </c>
      <c r="C51" s="12">
        <v>45405</v>
      </c>
      <c r="D51">
        <v>31.4</v>
      </c>
      <c r="E51">
        <v>120.216667</v>
      </c>
      <c r="F51">
        <v>8</v>
      </c>
      <c r="G51" t="s">
        <v>37</v>
      </c>
      <c r="H51" t="s">
        <v>41</v>
      </c>
      <c r="I51">
        <v>28.068999999999999</v>
      </c>
      <c r="J51">
        <v>28.068999999999999</v>
      </c>
      <c r="K51">
        <v>757.4</v>
      </c>
      <c r="L51">
        <v>92.7</v>
      </c>
      <c r="M51">
        <v>7.24</v>
      </c>
      <c r="N51">
        <v>422.7</v>
      </c>
      <c r="O51">
        <v>447.4</v>
      </c>
      <c r="P51">
        <v>34.24</v>
      </c>
      <c r="Q51">
        <v>0.82</v>
      </c>
      <c r="R51">
        <v>0.97</v>
      </c>
      <c r="S51">
        <v>5861.6</v>
      </c>
      <c r="T51">
        <v>8.86</v>
      </c>
      <c r="U51">
        <v>24.57432</v>
      </c>
      <c r="V51">
        <v>0.19089999999999999</v>
      </c>
      <c r="W51">
        <v>5.4100000000000002E-2</v>
      </c>
      <c r="X51">
        <v>2.7229999999999999</v>
      </c>
      <c r="Y51">
        <f t="shared" si="0"/>
        <v>2.7770999999999999</v>
      </c>
      <c r="Z51">
        <v>4.6560000000000004E-3</v>
      </c>
      <c r="AA51">
        <v>3.4781</v>
      </c>
      <c r="AB51">
        <v>1.651E-2</v>
      </c>
      <c r="AC51">
        <v>4.1203000000000003</v>
      </c>
      <c r="AD51">
        <v>5.7459999999999997E-2</v>
      </c>
      <c r="AE51">
        <v>0.14499999999999999</v>
      </c>
      <c r="AF51">
        <v>3.9E-2</v>
      </c>
      <c r="AG51">
        <v>1.623</v>
      </c>
      <c r="AH51">
        <v>1.6619999999999999</v>
      </c>
      <c r="AI51">
        <v>3.0000000000000001E-3</v>
      </c>
      <c r="AJ51">
        <v>1.998</v>
      </c>
      <c r="AK51">
        <v>1.4599999999999998E-2</v>
      </c>
      <c r="AL51">
        <v>3.5724</v>
      </c>
      <c r="AM51">
        <v>1.7500000000000002E-2</v>
      </c>
      <c r="AN51">
        <v>0.46489754786698001</v>
      </c>
      <c r="AO51" s="5">
        <v>0.81766921633119904</v>
      </c>
      <c r="AP51">
        <v>0.51593698414382905</v>
      </c>
      <c r="AQ51">
        <v>0.30072220239901198</v>
      </c>
      <c r="AR51">
        <v>0</v>
      </c>
      <c r="AS51">
        <v>0</v>
      </c>
      <c r="AT51">
        <v>1.0100297883577E-3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1.2713708293056901E-2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 s="3">
        <v>81.489733000000001</v>
      </c>
      <c r="BI51">
        <v>30.55865</v>
      </c>
      <c r="BJ51">
        <v>45.837975</v>
      </c>
      <c r="BK51">
        <v>5.093108</v>
      </c>
      <c r="BL51">
        <v>0</v>
      </c>
      <c r="BM51">
        <v>0</v>
      </c>
      <c r="BN51">
        <v>0</v>
      </c>
      <c r="BO51">
        <v>0</v>
      </c>
      <c r="BZ51" s="5">
        <v>9</v>
      </c>
      <c r="CA51">
        <v>1.78010223384403</v>
      </c>
      <c r="CB51" s="5">
        <v>1.9773311701796099</v>
      </c>
      <c r="CC51" s="5">
        <v>0.89992219756471503</v>
      </c>
      <c r="CD51" s="5">
        <v>0.82357712347742296</v>
      </c>
      <c r="CE51">
        <v>6.1780162372060701E-2</v>
      </c>
      <c r="CF51">
        <v>0.37500000153393598</v>
      </c>
      <c r="CG51">
        <v>0.56250000230090302</v>
      </c>
      <c r="CH51">
        <v>0</v>
      </c>
      <c r="CI51">
        <v>6.2499996165161102E-2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0.18750000076696799</v>
      </c>
      <c r="CQ51">
        <v>0</v>
      </c>
      <c r="CR51">
        <v>0</v>
      </c>
      <c r="CS51">
        <v>0.12500000460180699</v>
      </c>
      <c r="CT51">
        <v>0</v>
      </c>
      <c r="CU51">
        <v>0</v>
      </c>
      <c r="CV51">
        <v>0</v>
      </c>
      <c r="CW5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Event table</vt:lpstr>
      <vt:lpstr>Parameter table</vt:lpstr>
      <vt:lpstr>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苏瑞 张</cp:lastModifiedBy>
  <dcterms:created xsi:type="dcterms:W3CDTF">2025-10-13T08:33:03Z</dcterms:created>
  <dcterms:modified xsi:type="dcterms:W3CDTF">2026-02-24T13:20:30Z</dcterms:modified>
</cp:coreProperties>
</file>